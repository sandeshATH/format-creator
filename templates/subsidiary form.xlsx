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\\192.168.1.6\dic 2019\2019 Scan Documents\KHAKHI TEXTILES 30.44\1 CLAIM\"/>
    </mc:Choice>
  </mc:AlternateContent>
  <xr:revisionPtr revIDLastSave="0" documentId="13_ncr:1_{055B70F0-45DB-413F-A242-2A703B166F2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st Page" sheetId="1" r:id="rId1"/>
    <sheet name="2nd Page" sheetId="2" r:id="rId2"/>
    <sheet name="Sheet1" sheetId="3" state="hidden" r:id="rId3"/>
  </sheets>
  <definedNames>
    <definedName name="_xlnm.Print_Area" localSheetId="0">'1st Page'!$A$1:$J$37</definedName>
    <definedName name="_xlnm.Print_Area" localSheetId="1">'2nd Page'!$A$1:$N$65</definedName>
    <definedName name="_xlnm.Print_Area" hidden="1">#REF!</definedName>
    <definedName name="_xlnm.Print_Titles" localSheetId="1">'2nd Page'!$1:$13</definedName>
  </definedNames>
  <calcPr calcId="181029"/>
</workbook>
</file>

<file path=xl/calcChain.xml><?xml version="1.0" encoding="utf-8"?>
<calcChain xmlns="http://schemas.openxmlformats.org/spreadsheetml/2006/main">
  <c r="J14" i="2" l="1"/>
  <c r="N61" i="2"/>
  <c r="J61" i="2"/>
  <c r="K62" i="2"/>
  <c r="F61" i="2"/>
  <c r="D61" i="2"/>
  <c r="J54" i="2"/>
  <c r="I18" i="2"/>
  <c r="J18" i="2" s="1"/>
  <c r="I22" i="2"/>
  <c r="J22" i="2" s="1"/>
  <c r="I26" i="2"/>
  <c r="J26" i="2" s="1"/>
  <c r="I30" i="2"/>
  <c r="J30" i="2" s="1"/>
  <c r="I34" i="2"/>
  <c r="J34" i="2" s="1"/>
  <c r="I38" i="2"/>
  <c r="J38" i="2" s="1"/>
  <c r="I42" i="2"/>
  <c r="J42" i="2" s="1"/>
  <c r="I46" i="2"/>
  <c r="J46" i="2" s="1"/>
  <c r="I50" i="2"/>
  <c r="J50" i="2" s="1"/>
  <c r="H16" i="2"/>
  <c r="I15" i="2" s="1"/>
  <c r="J15" i="2" s="1"/>
  <c r="H17" i="2"/>
  <c r="I16" i="2" s="1"/>
  <c r="J16" i="2" s="1"/>
  <c r="H18" i="2"/>
  <c r="I17" i="2" s="1"/>
  <c r="J17" i="2" s="1"/>
  <c r="H19" i="2"/>
  <c r="H20" i="2"/>
  <c r="I19" i="2" s="1"/>
  <c r="J19" i="2" s="1"/>
  <c r="H21" i="2"/>
  <c r="I20" i="2" s="1"/>
  <c r="J20" i="2" s="1"/>
  <c r="H22" i="2"/>
  <c r="I21" i="2" s="1"/>
  <c r="J21" i="2" s="1"/>
  <c r="H23" i="2"/>
  <c r="H24" i="2"/>
  <c r="I23" i="2" s="1"/>
  <c r="J23" i="2" s="1"/>
  <c r="H25" i="2"/>
  <c r="I24" i="2" s="1"/>
  <c r="J24" i="2" s="1"/>
  <c r="H26" i="2"/>
  <c r="I25" i="2" s="1"/>
  <c r="J25" i="2" s="1"/>
  <c r="H27" i="2"/>
  <c r="H28" i="2"/>
  <c r="I27" i="2" s="1"/>
  <c r="J27" i="2" s="1"/>
  <c r="H29" i="2"/>
  <c r="I28" i="2" s="1"/>
  <c r="J28" i="2" s="1"/>
  <c r="H30" i="2"/>
  <c r="I29" i="2" s="1"/>
  <c r="J29" i="2" s="1"/>
  <c r="H31" i="2"/>
  <c r="H32" i="2"/>
  <c r="I31" i="2" s="1"/>
  <c r="J31" i="2" s="1"/>
  <c r="H33" i="2"/>
  <c r="I32" i="2" s="1"/>
  <c r="J32" i="2" s="1"/>
  <c r="H34" i="2"/>
  <c r="I33" i="2" s="1"/>
  <c r="J33" i="2" s="1"/>
  <c r="H35" i="2"/>
  <c r="H36" i="2"/>
  <c r="I35" i="2" s="1"/>
  <c r="J35" i="2" s="1"/>
  <c r="H37" i="2"/>
  <c r="I36" i="2" s="1"/>
  <c r="J36" i="2" s="1"/>
  <c r="H38" i="2"/>
  <c r="I37" i="2" s="1"/>
  <c r="J37" i="2" s="1"/>
  <c r="H39" i="2"/>
  <c r="H40" i="2"/>
  <c r="I39" i="2" s="1"/>
  <c r="J39" i="2" s="1"/>
  <c r="H41" i="2"/>
  <c r="I40" i="2" s="1"/>
  <c r="J40" i="2" s="1"/>
  <c r="H42" i="2"/>
  <c r="I41" i="2" s="1"/>
  <c r="J41" i="2" s="1"/>
  <c r="H43" i="2"/>
  <c r="H44" i="2"/>
  <c r="I43" i="2" s="1"/>
  <c r="J43" i="2" s="1"/>
  <c r="H45" i="2"/>
  <c r="I44" i="2" s="1"/>
  <c r="J44" i="2" s="1"/>
  <c r="H46" i="2"/>
  <c r="I45" i="2" s="1"/>
  <c r="J45" i="2" s="1"/>
  <c r="H47" i="2"/>
  <c r="H48" i="2"/>
  <c r="I47" i="2" s="1"/>
  <c r="J47" i="2" s="1"/>
  <c r="H49" i="2"/>
  <c r="I48" i="2" s="1"/>
  <c r="J48" i="2" s="1"/>
  <c r="H50" i="2"/>
  <c r="I49" i="2" s="1"/>
  <c r="J49" i="2" s="1"/>
  <c r="H51" i="2"/>
  <c r="H52" i="2"/>
  <c r="I51" i="2" s="1"/>
  <c r="J51" i="2" s="1"/>
  <c r="H53" i="2"/>
  <c r="I52" i="2" s="1"/>
  <c r="J52" i="2" s="1"/>
  <c r="H54" i="2"/>
  <c r="I53" i="2" s="1"/>
  <c r="J53" i="2" s="1"/>
  <c r="H15" i="2"/>
  <c r="H14" i="2"/>
  <c r="F54" i="2"/>
  <c r="P14" i="2"/>
  <c r="P16" i="2"/>
  <c r="Q13" i="2"/>
  <c r="Q12" i="2"/>
  <c r="I14" i="2" l="1"/>
  <c r="G14" i="2" l="1"/>
  <c r="K14" i="2" s="1"/>
  <c r="B15" i="2" l="1"/>
  <c r="G15" i="2" s="1"/>
  <c r="K15" i="2" s="1"/>
  <c r="D20" i="1"/>
  <c r="D19" i="1"/>
  <c r="E17" i="1"/>
  <c r="F23" i="1" s="1"/>
  <c r="E15" i="1"/>
  <c r="I10" i="1"/>
  <c r="C10" i="1"/>
  <c r="B16" i="2" l="1"/>
  <c r="D21" i="1"/>
  <c r="G16" i="2" l="1"/>
  <c r="K16" i="2" s="1"/>
  <c r="B17" i="2" l="1"/>
  <c r="G17" i="2" s="1"/>
  <c r="K17" i="2" s="1"/>
  <c r="B18" i="2" l="1"/>
  <c r="G18" i="2" s="1"/>
  <c r="K18" i="2" s="1"/>
  <c r="B19" i="2" l="1"/>
  <c r="G19" i="2" s="1"/>
  <c r="K19" i="2" s="1"/>
  <c r="B20" i="2" l="1"/>
  <c r="G20" i="2" s="1"/>
  <c r="K20" i="2" s="1"/>
  <c r="B21" i="2" l="1"/>
  <c r="G21" i="2" s="1"/>
  <c r="K21" i="2" s="1"/>
  <c r="B22" i="2" l="1"/>
  <c r="G22" i="2" s="1"/>
  <c r="K22" i="2" s="1"/>
  <c r="B23" i="2" l="1"/>
  <c r="G23" i="2" s="1"/>
  <c r="K23" i="2" s="1"/>
  <c r="B24" i="2" l="1"/>
  <c r="G24" i="2" s="1"/>
  <c r="K24" i="2" s="1"/>
  <c r="B25" i="2" l="1"/>
  <c r="G25" i="2" s="1"/>
  <c r="K25" i="2" s="1"/>
  <c r="B26" i="2" l="1"/>
  <c r="G26" i="2" s="1"/>
  <c r="K26" i="2" s="1"/>
  <c r="B27" i="2" l="1"/>
  <c r="G27" i="2" s="1"/>
  <c r="K27" i="2" s="1"/>
  <c r="B28" i="2" l="1"/>
  <c r="G28" i="2" s="1"/>
  <c r="K28" i="2" s="1"/>
  <c r="B29" i="2" l="1"/>
  <c r="G29" i="2" s="1"/>
  <c r="K29" i="2" s="1"/>
  <c r="B30" i="2" l="1"/>
  <c r="G30" i="2" s="1"/>
  <c r="K30" i="2" s="1"/>
  <c r="B31" i="2" l="1"/>
  <c r="G31" i="2" s="1"/>
  <c r="K31" i="2" s="1"/>
  <c r="B32" i="2" l="1"/>
  <c r="G32" i="2" s="1"/>
  <c r="K32" i="2" s="1"/>
  <c r="B33" i="2" l="1"/>
  <c r="G33" i="2" s="1"/>
  <c r="K33" i="2" s="1"/>
  <c r="B34" i="2" l="1"/>
  <c r="G34" i="2" s="1"/>
  <c r="K34" i="2" s="1"/>
  <c r="B35" i="2" l="1"/>
  <c r="G35" i="2" s="1"/>
  <c r="K35" i="2" s="1"/>
  <c r="B36" i="2" l="1"/>
  <c r="G36" i="2" s="1"/>
  <c r="K36" i="2" s="1"/>
  <c r="B37" i="2" l="1"/>
  <c r="G37" i="2" s="1"/>
  <c r="K37" i="2" s="1"/>
  <c r="B38" i="2" l="1"/>
  <c r="G38" i="2" s="1"/>
  <c r="K38" i="2" s="1"/>
  <c r="B39" i="2" l="1"/>
  <c r="G39" i="2" s="1"/>
  <c r="K39" i="2" s="1"/>
  <c r="B40" i="2" l="1"/>
  <c r="G40" i="2" s="1"/>
  <c r="K40" i="2" s="1"/>
  <c r="B41" i="2" l="1"/>
  <c r="G41" i="2" s="1"/>
  <c r="K41" i="2" s="1"/>
  <c r="B42" i="2" l="1"/>
  <c r="G42" i="2" s="1"/>
  <c r="B43" i="2" l="1"/>
  <c r="G43" i="2" s="1"/>
  <c r="K42" i="2"/>
  <c r="B44" i="2" l="1"/>
  <c r="G44" i="2" s="1"/>
  <c r="K43" i="2"/>
  <c r="B45" i="2" l="1"/>
  <c r="G45" i="2" s="1"/>
  <c r="K44" i="2"/>
  <c r="B46" i="2" l="1"/>
  <c r="G46" i="2" s="1"/>
  <c r="K45" i="2"/>
  <c r="B47" i="2" l="1"/>
  <c r="G47" i="2" s="1"/>
  <c r="K46" i="2"/>
  <c r="B48" i="2" l="1"/>
  <c r="G48" i="2" s="1"/>
  <c r="K47" i="2"/>
  <c r="B49" i="2" l="1"/>
  <c r="G49" i="2" s="1"/>
  <c r="K48" i="2"/>
  <c r="B50" i="2" l="1"/>
  <c r="G50" i="2" s="1"/>
  <c r="K49" i="2"/>
  <c r="B51" i="2" l="1"/>
  <c r="G51" i="2" s="1"/>
  <c r="K50" i="2"/>
  <c r="B52" i="2" l="1"/>
  <c r="G52" i="2" s="1"/>
  <c r="K51" i="2"/>
  <c r="B53" i="2" l="1"/>
  <c r="G53" i="2" s="1"/>
  <c r="K52" i="2"/>
  <c r="B54" i="2" l="1"/>
  <c r="G54" i="2" s="1"/>
  <c r="K54" i="2" s="1"/>
  <c r="C24" i="1" s="1"/>
  <c r="K53" i="2"/>
</calcChain>
</file>

<file path=xl/sharedStrings.xml><?xml version="1.0" encoding="utf-8"?>
<sst xmlns="http://schemas.openxmlformats.org/spreadsheetml/2006/main" count="72" uniqueCount="67">
  <si>
    <t>ANNEXURE-A</t>
  </si>
  <si>
    <t xml:space="preserve">       Certificate from Financial Institution</t>
  </si>
  <si>
    <t>This is to certify that</t>
  </si>
  <si>
    <t>has been sanctioned</t>
  </si>
  <si>
    <t>Rs.</t>
  </si>
  <si>
    <t>the first disbursement</t>
  </si>
  <si>
    <t>of the term loan of Rs.</t>
  </si>
  <si>
    <t>and their</t>
  </si>
  <si>
    <t>term loan Account No. is</t>
  </si>
  <si>
    <t xml:space="preserve">The Unit had made repayment for the period dt  </t>
  </si>
  <si>
    <t>as under</t>
  </si>
  <si>
    <t>Against Term Loan</t>
  </si>
  <si>
    <t>As Interest</t>
  </si>
  <si>
    <t>Total</t>
  </si>
  <si>
    <t>as per bank Rs.</t>
  </si>
  <si>
    <t>/-</t>
  </si>
  <si>
    <t>This is to Certify that penal intrest or other charges are not included in the said claim and the enterprise</t>
  </si>
  <si>
    <t>pays regular installments and intrest to the bank.</t>
  </si>
  <si>
    <t>The enterprise  is not defaulter of the bank.</t>
  </si>
  <si>
    <t>( In the case of defaulter, please give default period details )</t>
  </si>
  <si>
    <t>Signature Branch Manager</t>
  </si>
  <si>
    <t>Place : Surat.</t>
  </si>
  <si>
    <t>Date :</t>
  </si>
  <si>
    <t>Name of Bank</t>
  </si>
  <si>
    <t>Seal of the Bank</t>
  </si>
  <si>
    <t xml:space="preserve">Name of the Bank / FI : </t>
  </si>
  <si>
    <t xml:space="preserve">Branch : </t>
  </si>
  <si>
    <t>Name of the Unit :</t>
  </si>
  <si>
    <t>Term Loan Amount :</t>
  </si>
  <si>
    <t>Term Loan Account No:</t>
  </si>
  <si>
    <t>No. Of Installment</t>
  </si>
  <si>
    <t>Interest Subsidy Reimbursement Period :</t>
  </si>
  <si>
    <t>CALCULATION SHEET</t>
  </si>
  <si>
    <t>Sr. No.</t>
  </si>
  <si>
    <t>Outstanding Principal amount brought forward (I.e closing principal balance(vide co.7 of the  last claim submitted) (In Rupees)</t>
  </si>
  <si>
    <t>Disbursement during the Month</t>
  </si>
  <si>
    <t>Repayment (Actual Date Of Repayment Of principal amount only) during the month</t>
  </si>
  <si>
    <t xml:space="preserve">Principal amount outstanding (In Rupees)  i.e. (Column 2 + Column 4 - Column 6 )                                                                                                                                                                               </t>
  </si>
  <si>
    <t>Number of days for which the balances utilised</t>
  </si>
  <si>
    <t>6% interest reimbursement amount (In Rupees)                    i.e.    6% of (Column 7/365) X Column 10</t>
  </si>
  <si>
    <t>Interest Payment Date</t>
  </si>
  <si>
    <t>ROI</t>
  </si>
  <si>
    <t>Interest Paid During the Period</t>
  </si>
  <si>
    <t>Date</t>
  </si>
  <si>
    <t>Amount (Rs.)</t>
  </si>
  <si>
    <t>From Date</t>
  </si>
  <si>
    <t>To Date</t>
  </si>
  <si>
    <t>No. of Days</t>
  </si>
  <si>
    <t/>
  </si>
  <si>
    <t>6% Interest Subsidy as per Bank</t>
  </si>
  <si>
    <t>DATE</t>
  </si>
  <si>
    <t>BANK ROUND SEAL</t>
  </si>
  <si>
    <t>BANK MANAGER SIGN &amp; STAMP</t>
  </si>
  <si>
    <r>
      <t>The interest subsidy @</t>
    </r>
    <r>
      <rPr>
        <strike/>
        <sz val="15"/>
        <color rgb="FF000000"/>
        <rFont val="Arial"/>
        <family val="2"/>
      </rPr>
      <t xml:space="preserve"> 4%/ 4.5 %/</t>
    </r>
    <r>
      <rPr>
        <b/>
        <strike/>
        <sz val="15"/>
        <color rgb="FF000000"/>
        <rFont val="Arial"/>
        <family val="2"/>
      </rPr>
      <t xml:space="preserve"> </t>
    </r>
    <r>
      <rPr>
        <strike/>
        <sz val="15"/>
        <color rgb="FF000000"/>
        <rFont val="Arial"/>
        <family val="2"/>
      </rPr>
      <t>5% /</t>
    </r>
    <r>
      <rPr>
        <sz val="15"/>
        <color rgb="FF000000"/>
        <rFont val="Arial"/>
        <family val="2"/>
      </rPr>
      <t xml:space="preserve"> 6%</t>
    </r>
    <r>
      <rPr>
        <strike/>
        <sz val="15"/>
        <color rgb="FF000000"/>
        <rFont val="Arial"/>
        <family val="2"/>
      </rPr>
      <t xml:space="preserve"> </t>
    </r>
    <r>
      <rPr>
        <sz val="15"/>
        <color rgb="FF000000"/>
        <rFont val="Arial"/>
        <family val="2"/>
      </rPr>
      <t xml:space="preserve">on the amount disbursed for the period from </t>
    </r>
  </si>
  <si>
    <t xml:space="preserve">   was disbursed on dt.</t>
  </si>
  <si>
    <t>SARASWAT CO-OPERATIVE BANK LTD.</t>
  </si>
  <si>
    <t>SURAT</t>
  </si>
  <si>
    <t>KHAKHI TEXTILES</t>
  </si>
  <si>
    <t>3044000/-</t>
  </si>
  <si>
    <t>910000000013343</t>
  </si>
  <si>
    <t>72 Month + 6 Moratorium Month</t>
  </si>
  <si>
    <t>06/11/2021 TO 14/08/2025</t>
  </si>
  <si>
    <r>
      <t xml:space="preserve">term loan on Gross Fixed Capital Investment of </t>
    </r>
    <r>
      <rPr>
        <b/>
        <u/>
        <sz val="15"/>
        <color rgb="FF000000"/>
        <rFont val="Arial"/>
        <family val="2"/>
      </rPr>
      <t>Rs.1,39,89,000.00/-</t>
    </r>
    <r>
      <rPr>
        <sz val="15"/>
        <color rgb="FF000000"/>
        <rFont val="Arial"/>
        <family val="2"/>
      </rPr>
      <t xml:space="preserve"> for the project located at </t>
    </r>
    <r>
      <rPr>
        <b/>
        <u/>
        <sz val="15"/>
        <color rgb="FF000000"/>
        <rFont val="Arial"/>
        <family val="2"/>
      </rPr>
      <t xml:space="preserve">PLOT NO.-30, OM TEXTILES PARK VIBHAG-10, PARAB, </t>
    </r>
  </si>
  <si>
    <t>KAMREJ, SURAT.</t>
  </si>
  <si>
    <r>
      <t xml:space="preserve">at the rate of </t>
    </r>
    <r>
      <rPr>
        <b/>
        <u/>
        <sz val="15"/>
        <color rgb="FF000000"/>
        <rFont val="Arial"/>
        <family val="2"/>
      </rPr>
      <t>9.50%</t>
    </r>
    <r>
      <rPr>
        <sz val="15"/>
        <color rgb="FF000000"/>
        <rFont val="Arial"/>
        <family val="2"/>
      </rPr>
      <t xml:space="preserve">  Interest.</t>
    </r>
  </si>
  <si>
    <t xml:space="preserve">30,44,000.00/-  </t>
  </si>
  <si>
    <r>
      <t xml:space="preserve">The unit has been disbursed total of </t>
    </r>
    <r>
      <rPr>
        <b/>
        <sz val="15"/>
        <color rgb="FF000000"/>
        <rFont val="Arial"/>
        <family val="2"/>
      </rPr>
      <t xml:space="preserve">Rs. </t>
    </r>
    <r>
      <rPr>
        <b/>
        <u/>
        <sz val="15"/>
        <color rgb="FF000000"/>
        <rFont val="Arial"/>
        <family val="2"/>
      </rPr>
      <t>30,44,000.00 /</t>
    </r>
    <r>
      <rPr>
        <u/>
        <sz val="15"/>
        <color rgb="FF000000"/>
        <rFont val="Arial"/>
        <family val="2"/>
      </rPr>
      <t xml:space="preserve">- </t>
    </r>
    <r>
      <rPr>
        <sz val="15"/>
        <color rgb="FF000000"/>
        <rFont val="Arial"/>
        <family val="2"/>
      </rPr>
      <t>Upto</t>
    </r>
    <r>
      <rPr>
        <b/>
        <u/>
        <sz val="15"/>
        <color rgb="FF000000"/>
        <rFont val="Arial"/>
        <family val="2"/>
      </rPr>
      <t>. 06/11/2021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</si>
</sst>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-409]d/mmm/yyyy;@"/>
    <numFmt numFmtId="165" formatCode="[$-409]d/mmm/yy;@"/>
    <numFmt numFmtId="166" formatCode="d/mmm/yyyy;@"/>
    <numFmt numFmtId="167" formatCode="dd\/mm\/yyyy"/>
  </numFmts>
  <fonts count="21" x14ac:knownFonts="1">
    <font>
      <sz val="11"/>
      <color indexed="8"/>
      <name val="Calibri"/>
    </font>
    <font>
      <b/>
      <sz val="15"/>
      <name val="Times New Roman"/>
      <family val="1"/>
    </font>
    <font>
      <sz val="15"/>
      <name val="Times New Roman"/>
      <family val="1"/>
    </font>
    <font>
      <b/>
      <u/>
      <sz val="15"/>
      <name val="Times New Roman"/>
      <family val="1"/>
    </font>
    <font>
      <b/>
      <sz val="15"/>
      <color indexed="8"/>
      <name val="Times New Roman"/>
      <family val="1"/>
    </font>
    <font>
      <sz val="11"/>
      <color indexed="8"/>
      <name val="Arial"/>
      <family val="2"/>
    </font>
    <font>
      <sz val="10"/>
      <name val="Arial"/>
      <family val="2"/>
    </font>
    <font>
      <sz val="14"/>
      <color indexed="8"/>
      <name val="Arial Black"/>
      <family val="2"/>
    </font>
    <font>
      <sz val="16"/>
      <color indexed="8"/>
      <name val="Arial Black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b/>
      <u/>
      <sz val="15"/>
      <color rgb="FF000000"/>
      <name val="Arial"/>
      <family val="2"/>
    </font>
    <font>
      <sz val="15"/>
      <color rgb="FF000000"/>
      <name val="Arial"/>
      <family val="2"/>
    </font>
    <font>
      <b/>
      <sz val="15"/>
      <color rgb="FF000000"/>
      <name val="Arial"/>
      <family val="2"/>
    </font>
    <font>
      <u/>
      <sz val="15"/>
      <color rgb="FF000000"/>
      <name val="Arial"/>
      <family val="2"/>
    </font>
    <font>
      <b/>
      <sz val="15"/>
      <color indexed="8"/>
      <name val="Arial"/>
      <family val="2"/>
    </font>
    <font>
      <strike/>
      <sz val="15"/>
      <color rgb="FF000000"/>
      <name val="Arial"/>
      <family val="2"/>
    </font>
    <font>
      <b/>
      <strike/>
      <sz val="1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</cellStyleXfs>
  <cellXfs count="8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/>
    <xf numFmtId="0" fontId="1" fillId="2" borderId="1" xfId="3" applyFont="1" applyFill="1" applyBorder="1">
      <alignment vertical="center"/>
    </xf>
    <xf numFmtId="164" fontId="2" fillId="0" borderId="0" xfId="0" applyNumberFormat="1" applyFont="1" applyAlignment="1"/>
    <xf numFmtId="4" fontId="2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4" fontId="1" fillId="0" borderId="2" xfId="0" applyNumberFormat="1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4" fontId="1" fillId="0" borderId="2" xfId="0" applyNumberFormat="1" applyFont="1" applyBorder="1" applyAlignment="1">
      <alignment horizontal="right"/>
    </xf>
    <xf numFmtId="4" fontId="1" fillId="0" borderId="2" xfId="1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66" fontId="4" fillId="2" borderId="2" xfId="5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3" applyFont="1" applyFill="1">
      <alignment vertical="center"/>
    </xf>
    <xf numFmtId="10" fontId="2" fillId="0" borderId="0" xfId="2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0" xfId="0" applyNumberFormat="1" applyFont="1" applyAlignment="1">
      <alignment horizontal="center" vertical="center"/>
    </xf>
    <xf numFmtId="0" fontId="0" fillId="0" borderId="0" xfId="0" applyAlignment="1"/>
    <xf numFmtId="0" fontId="5" fillId="0" borderId="0" xfId="0" applyFont="1" applyAlignment="1"/>
    <xf numFmtId="0" fontId="6" fillId="2" borderId="0" xfId="3" applyFill="1" applyAlignment="1"/>
    <xf numFmtId="0" fontId="7" fillId="0" borderId="0" xfId="0" applyFont="1" applyAlignment="1">
      <alignment horizontal="center" vertical="center"/>
    </xf>
    <xf numFmtId="0" fontId="9" fillId="0" borderId="0" xfId="0" applyFont="1" applyAlignment="1"/>
    <xf numFmtId="0" fontId="2" fillId="0" borderId="2" xfId="0" quotePrefix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0" fontId="11" fillId="0" borderId="0" xfId="0" applyFont="1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wrapText="1"/>
    </xf>
    <xf numFmtId="0" fontId="12" fillId="0" borderId="0" xfId="0" applyFont="1" applyAlignment="1"/>
    <xf numFmtId="3" fontId="13" fillId="0" borderId="0" xfId="0" applyNumberFormat="1" applyFont="1" applyAlignment="1">
      <alignment horizontal="center"/>
    </xf>
    <xf numFmtId="167" fontId="13" fillId="0" borderId="0" xfId="0" applyNumberFormat="1" applyFont="1" applyAlignment="1"/>
    <xf numFmtId="1" fontId="13" fillId="0" borderId="0" xfId="0" quotePrefix="1" applyNumberFormat="1" applyFont="1" applyAlignment="1"/>
    <xf numFmtId="1" fontId="13" fillId="0" borderId="0" xfId="0" applyNumberFormat="1" applyFont="1" applyAlignment="1"/>
    <xf numFmtId="0" fontId="13" fillId="0" borderId="0" xfId="0" applyFont="1" applyAlignment="1"/>
    <xf numFmtId="0" fontId="12" fillId="0" borderId="0" xfId="0" applyFont="1" applyAlignment="1">
      <alignment horizontal="right"/>
    </xf>
    <xf numFmtId="2" fontId="13" fillId="0" borderId="0" xfId="0" applyNumberFormat="1" applyFont="1" applyAlignment="1"/>
    <xf numFmtId="0" fontId="18" fillId="0" borderId="0" xfId="0" applyFont="1" applyAlignment="1"/>
    <xf numFmtId="0" fontId="1" fillId="0" borderId="0" xfId="0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166" fontId="1" fillId="3" borderId="2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/>
    </xf>
    <xf numFmtId="4" fontId="1" fillId="3" borderId="2" xfId="1" applyNumberFormat="1" applyFont="1" applyFill="1" applyBorder="1" applyAlignment="1">
      <alignment horizontal="center" vertical="center"/>
    </xf>
    <xf numFmtId="4" fontId="1" fillId="3" borderId="2" xfId="1" applyNumberFormat="1" applyFont="1" applyFill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0" fontId="1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4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quotePrefix="1" applyFont="1" applyBorder="1" applyAlignment="1">
      <alignment horizontal="left" vertical="center"/>
    </xf>
    <xf numFmtId="0" fontId="1" fillId="0" borderId="3" xfId="0" quotePrefix="1" applyFont="1" applyBorder="1" applyAlignment="1">
      <alignment horizontal="left" vertical="center"/>
    </xf>
    <xf numFmtId="0" fontId="1" fillId="0" borderId="6" xfId="0" quotePrefix="1" applyFont="1" applyBorder="1" applyAlignment="1">
      <alignment horizontal="left" vertical="center"/>
    </xf>
    <xf numFmtId="0" fontId="1" fillId="0" borderId="9" xfId="0" quotePrefix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</cellXfs>
  <cellStyles count="6">
    <cellStyle name="Comma" xfId="1" builtinId="3"/>
    <cellStyle name="Excel Built-in Normal" xfId="5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0"/>
  <sheetViews>
    <sheetView showGridLines="0" view="pageBreakPreview" topLeftCell="A19" zoomScale="70" zoomScaleNormal="100" zoomScaleSheetLayoutView="70" workbookViewId="0">
      <selection activeCell="F16" sqref="F16"/>
    </sheetView>
  </sheetViews>
  <sheetFormatPr defaultColWidth="9" defaultRowHeight="15" x14ac:dyDescent="0.25"/>
  <cols>
    <col min="1" max="1" width="20.7109375" style="32" customWidth="1"/>
    <col min="2" max="2" width="33.5703125" style="32" customWidth="1"/>
    <col min="3" max="3" width="22.28515625" style="32" customWidth="1"/>
    <col min="4" max="4" width="22.5703125" style="32" customWidth="1"/>
    <col min="5" max="5" width="21.5703125" style="32" customWidth="1"/>
    <col min="6" max="6" width="22.7109375" style="32" customWidth="1"/>
    <col min="7" max="7" width="20.140625" style="32" customWidth="1"/>
    <col min="8" max="8" width="17" style="32" customWidth="1"/>
    <col min="9" max="9" width="13.7109375" style="32" customWidth="1"/>
    <col min="10" max="10" width="7.5703125" style="32" customWidth="1"/>
    <col min="11" max="11" width="4" style="32" customWidth="1"/>
    <col min="12" max="244" width="9" style="32" customWidth="1"/>
    <col min="245" max="16384" width="9" style="32"/>
  </cols>
  <sheetData>
    <row r="1" spans="1:10" ht="30.95" customHeight="1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</row>
    <row r="2" spans="1:10" ht="30.95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</row>
    <row r="3" spans="1:10" ht="30.95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 ht="30.95" customHeight="1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 ht="30.95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</row>
    <row r="6" spans="1:10" ht="30.95" customHeight="1" x14ac:dyDescent="0.25">
      <c r="A6" s="35"/>
      <c r="B6" s="35"/>
      <c r="C6" s="35"/>
      <c r="D6" s="35"/>
      <c r="E6" s="35"/>
      <c r="F6" s="35"/>
      <c r="G6" s="35"/>
      <c r="H6" s="35"/>
      <c r="I6" s="35"/>
      <c r="J6" s="35"/>
    </row>
    <row r="7" spans="1:10" ht="24" customHeight="1" x14ac:dyDescent="0.25">
      <c r="A7" s="64" t="s">
        <v>0</v>
      </c>
      <c r="B7" s="64"/>
      <c r="C7" s="64"/>
      <c r="D7" s="64"/>
      <c r="E7" s="64"/>
      <c r="F7" s="64"/>
      <c r="G7" s="64"/>
      <c r="H7" s="64"/>
      <c r="I7" s="64"/>
      <c r="J7" s="64"/>
    </row>
    <row r="8" spans="1:10" s="33" customFormat="1" ht="24" customHeight="1" x14ac:dyDescent="0.2">
      <c r="A8" s="64" t="s">
        <v>1</v>
      </c>
      <c r="B8" s="64"/>
      <c r="C8" s="64"/>
      <c r="D8" s="64"/>
      <c r="E8" s="64"/>
      <c r="F8" s="64"/>
      <c r="G8" s="64"/>
      <c r="H8" s="64"/>
      <c r="I8" s="64"/>
      <c r="J8" s="64"/>
    </row>
    <row r="9" spans="1:10" s="40" customFormat="1" ht="28.5" customHeight="1" x14ac:dyDescent="0.2"/>
    <row r="10" spans="1:10" s="41" customFormat="1" ht="39.950000000000003" customHeight="1" x14ac:dyDescent="0.25">
      <c r="A10" s="41" t="s">
        <v>2</v>
      </c>
      <c r="C10" s="42" t="str">
        <f>'2nd Page'!E3</f>
        <v>KHAKHI TEXTILES</v>
      </c>
      <c r="E10" s="42"/>
      <c r="F10" s="41" t="s">
        <v>3</v>
      </c>
      <c r="H10" s="43" t="s">
        <v>4</v>
      </c>
      <c r="I10" s="44" t="str">
        <f>'2nd Page'!E4</f>
        <v>3044000/-</v>
      </c>
    </row>
    <row r="11" spans="1:10" s="41" customFormat="1" ht="39.950000000000003" customHeight="1" x14ac:dyDescent="0.25">
      <c r="A11" s="45" t="s">
        <v>62</v>
      </c>
      <c r="B11" s="42"/>
      <c r="C11" s="42"/>
      <c r="F11" s="42"/>
      <c r="I11" s="42"/>
    </row>
    <row r="12" spans="1:10" s="41" customFormat="1" ht="39.950000000000003" customHeight="1" x14ac:dyDescent="0.25">
      <c r="A12" s="44" t="s">
        <v>63</v>
      </c>
      <c r="E12" s="45"/>
      <c r="F12" s="45" t="s">
        <v>64</v>
      </c>
      <c r="G12" s="45"/>
      <c r="H12" s="45"/>
    </row>
    <row r="13" spans="1:10" s="47" customFormat="1" ht="39.950000000000003" customHeight="1" x14ac:dyDescent="0.3">
      <c r="A13" s="45" t="s">
        <v>66</v>
      </c>
      <c r="B13" s="41"/>
      <c r="C13" s="41"/>
      <c r="D13" s="41"/>
      <c r="E13" s="41"/>
      <c r="F13" s="46"/>
      <c r="G13" s="46"/>
      <c r="H13" s="65" t="s">
        <v>5</v>
      </c>
      <c r="I13" s="65"/>
      <c r="J13" s="65"/>
    </row>
    <row r="14" spans="1:10" s="48" customFormat="1" ht="39.950000000000003" customHeight="1" x14ac:dyDescent="0.3">
      <c r="A14" s="48" t="s">
        <v>6</v>
      </c>
      <c r="D14" s="49" t="s">
        <v>65</v>
      </c>
      <c r="E14" s="48" t="s">
        <v>54</v>
      </c>
      <c r="G14" s="50">
        <v>44506</v>
      </c>
      <c r="I14" s="48" t="s">
        <v>7</v>
      </c>
    </row>
    <row r="15" spans="1:10" s="48" customFormat="1" ht="39.950000000000003" customHeight="1" x14ac:dyDescent="0.3">
      <c r="A15" s="66" t="s">
        <v>8</v>
      </c>
      <c r="B15" s="66"/>
      <c r="C15" s="66"/>
      <c r="D15" s="66"/>
      <c r="E15" s="51" t="str">
        <f>'2nd Page'!E5</f>
        <v>910000000013343</v>
      </c>
      <c r="F15" s="52"/>
    </row>
    <row r="16" spans="1:10" s="48" customFormat="1" ht="39.950000000000003" customHeight="1" x14ac:dyDescent="0.25"/>
    <row r="17" spans="1:10" s="48" customFormat="1" ht="39.950000000000003" customHeight="1" x14ac:dyDescent="0.3">
      <c r="A17" s="48" t="s">
        <v>9</v>
      </c>
      <c r="E17" s="53" t="str">
        <f>'2nd Page'!E7</f>
        <v>06/11/2021 TO 14/08/2025</v>
      </c>
      <c r="I17" s="48" t="s">
        <v>10</v>
      </c>
    </row>
    <row r="18" spans="1:10" s="48" customFormat="1" ht="39.950000000000003" customHeight="1" x14ac:dyDescent="0.25"/>
    <row r="19" spans="1:10" s="48" customFormat="1" ht="39.950000000000003" customHeight="1" x14ac:dyDescent="0.3">
      <c r="A19" s="48" t="s">
        <v>11</v>
      </c>
      <c r="C19" s="54" t="s">
        <v>4</v>
      </c>
      <c r="D19" s="55">
        <f>'2nd Page'!F61</f>
        <v>3044000</v>
      </c>
    </row>
    <row r="20" spans="1:10" s="48" customFormat="1" ht="39.950000000000003" customHeight="1" x14ac:dyDescent="0.3">
      <c r="A20" s="48" t="s">
        <v>12</v>
      </c>
      <c r="C20" s="54" t="s">
        <v>4</v>
      </c>
      <c r="D20" s="55">
        <f>'2nd Page'!N61</f>
        <v>901530</v>
      </c>
    </row>
    <row r="21" spans="1:10" s="48" customFormat="1" ht="39.950000000000003" customHeight="1" x14ac:dyDescent="0.3">
      <c r="A21" s="48" t="s">
        <v>13</v>
      </c>
      <c r="C21" s="54" t="s">
        <v>4</v>
      </c>
      <c r="D21" s="55">
        <f>D19+D20</f>
        <v>3945530</v>
      </c>
    </row>
    <row r="22" spans="1:10" s="48" customFormat="1" ht="39.950000000000003" customHeight="1" x14ac:dyDescent="0.3">
      <c r="I22" s="53"/>
    </row>
    <row r="23" spans="1:10" s="48" customFormat="1" ht="39.950000000000003" customHeight="1" x14ac:dyDescent="0.25">
      <c r="A23" s="45" t="s">
        <v>53</v>
      </c>
      <c r="B23" s="41"/>
      <c r="C23" s="41"/>
      <c r="D23" s="41"/>
      <c r="F23" s="42" t="str">
        <f>E17</f>
        <v>06/11/2021 TO 14/08/2025</v>
      </c>
      <c r="J23" s="42"/>
    </row>
    <row r="24" spans="1:10" s="48" customFormat="1" ht="39.950000000000003" customHeight="1" x14ac:dyDescent="0.3">
      <c r="A24" s="48" t="s">
        <v>14</v>
      </c>
      <c r="C24" s="52">
        <f>'2nd Page'!K62</f>
        <v>530072</v>
      </c>
      <c r="D24" s="52" t="s">
        <v>15</v>
      </c>
    </row>
    <row r="25" spans="1:10" s="48" customFormat="1" ht="39.950000000000003" customHeight="1" x14ac:dyDescent="0.3">
      <c r="C25" s="56"/>
      <c r="D25" s="52"/>
      <c r="E25" s="52"/>
    </row>
    <row r="26" spans="1:10" s="48" customFormat="1" ht="39.950000000000003" customHeight="1" x14ac:dyDescent="0.25"/>
    <row r="27" spans="1:10" s="48" customFormat="1" ht="39.950000000000003" customHeight="1" x14ac:dyDescent="0.25">
      <c r="A27" s="48" t="s">
        <v>16</v>
      </c>
    </row>
    <row r="28" spans="1:10" s="48" customFormat="1" ht="39.950000000000003" customHeight="1" x14ac:dyDescent="0.25">
      <c r="A28" s="48" t="s">
        <v>17</v>
      </c>
    </row>
    <row r="29" spans="1:10" s="48" customFormat="1" ht="39.950000000000003" customHeight="1" x14ac:dyDescent="0.25"/>
    <row r="30" spans="1:10" s="48" customFormat="1" ht="39.950000000000003" customHeight="1" x14ac:dyDescent="0.25">
      <c r="A30" s="48" t="s">
        <v>18</v>
      </c>
      <c r="E30" s="48" t="s">
        <v>19</v>
      </c>
    </row>
    <row r="31" spans="1:10" s="48" customFormat="1" ht="39.950000000000003" customHeight="1" x14ac:dyDescent="0.25"/>
    <row r="32" spans="1:10" s="48" customFormat="1" ht="39.950000000000003" customHeight="1" x14ac:dyDescent="0.25"/>
    <row r="33" spans="1:10" s="48" customFormat="1" ht="39.950000000000003" customHeight="1" x14ac:dyDescent="0.25">
      <c r="F33" s="48" t="s">
        <v>20</v>
      </c>
    </row>
    <row r="34" spans="1:10" s="48" customFormat="1" ht="39.950000000000003" customHeight="1" x14ac:dyDescent="0.25">
      <c r="A34" s="48" t="s">
        <v>21</v>
      </c>
    </row>
    <row r="35" spans="1:10" s="48" customFormat="1" ht="39.950000000000003" customHeight="1" x14ac:dyDescent="0.25">
      <c r="A35" s="48" t="s">
        <v>22</v>
      </c>
      <c r="F35" s="48" t="s">
        <v>23</v>
      </c>
    </row>
    <row r="36" spans="1:10" s="48" customFormat="1" ht="39.950000000000003" customHeight="1" x14ac:dyDescent="0.25"/>
    <row r="37" spans="1:10" s="48" customFormat="1" ht="39.950000000000003" customHeight="1" x14ac:dyDescent="0.25">
      <c r="F37" s="48" t="s">
        <v>24</v>
      </c>
    </row>
    <row r="38" spans="1:10" s="33" customFormat="1" ht="21.95" customHeight="1" x14ac:dyDescent="0.2"/>
    <row r="39" spans="1:10" s="33" customFormat="1" ht="14.25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</row>
    <row r="40" spans="1:10" s="34" customFormat="1" ht="27" customHeight="1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</row>
  </sheetData>
  <mergeCells count="5">
    <mergeCell ref="A1:J1"/>
    <mergeCell ref="A7:J7"/>
    <mergeCell ref="A8:J8"/>
    <mergeCell ref="H13:J13"/>
    <mergeCell ref="A15:D15"/>
  </mergeCells>
  <pageMargins left="0.70763888888888904" right="0.25902777777777802" top="0.39305555555555599" bottom="0.329166666666667" header="0.3" footer="0.3"/>
  <pageSetup paperSize="9" scale="46" orientation="portrait" verticalDpi="300" r:id="rId1"/>
  <headerFooter scaleWithDoc="0" alignWithMargins="0"/>
  <rowBreaks count="1" manualBreakCount="1">
    <brk id="38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V67"/>
  <sheetViews>
    <sheetView tabSelected="1" view="pageBreakPreview" topLeftCell="A5" zoomScale="55" zoomScaleNormal="55" zoomScaleSheetLayoutView="55" workbookViewId="0">
      <selection activeCell="P11" sqref="P11"/>
    </sheetView>
  </sheetViews>
  <sheetFormatPr defaultColWidth="8" defaultRowHeight="19.5" x14ac:dyDescent="0.3"/>
  <cols>
    <col min="1" max="1" width="6.140625" style="4" customWidth="1"/>
    <col min="2" max="2" width="30" style="4" customWidth="1"/>
    <col min="3" max="3" width="18.42578125" style="6" customWidth="1"/>
    <col min="4" max="4" width="22" style="7" customWidth="1"/>
    <col min="5" max="5" width="21.28515625" style="8" customWidth="1"/>
    <col min="6" max="6" width="20.7109375" style="8" customWidth="1"/>
    <col min="7" max="7" width="21.5703125" style="7" customWidth="1"/>
    <col min="8" max="8" width="21.5703125" style="9" customWidth="1"/>
    <col min="9" max="9" width="20.5703125" style="9" customWidth="1"/>
    <col min="10" max="10" width="16.5703125" style="10" customWidth="1"/>
    <col min="11" max="11" width="23" style="4" customWidth="1"/>
    <col min="12" max="12" width="19.5703125" style="4" customWidth="1"/>
    <col min="13" max="13" width="18.85546875" style="4" customWidth="1"/>
    <col min="14" max="14" width="22.140625" style="4" customWidth="1"/>
    <col min="15" max="15" width="8" style="4" customWidth="1"/>
    <col min="16" max="16" width="16.85546875" style="4" customWidth="1"/>
    <col min="17" max="17" width="14.42578125" style="4" customWidth="1"/>
    <col min="18" max="255" width="8" style="4" customWidth="1"/>
    <col min="256" max="16384" width="8" style="4"/>
  </cols>
  <sheetData>
    <row r="1" spans="1:17" ht="30.95" customHeight="1" x14ac:dyDescent="0.3">
      <c r="A1" s="76" t="s">
        <v>25</v>
      </c>
      <c r="B1" s="76"/>
      <c r="C1" s="76"/>
      <c r="D1" s="77"/>
      <c r="E1" s="73" t="s">
        <v>55</v>
      </c>
      <c r="F1" s="73"/>
      <c r="G1" s="73"/>
      <c r="H1" s="73"/>
      <c r="I1" s="73"/>
      <c r="J1" s="73"/>
      <c r="K1" s="73"/>
      <c r="L1" s="73"/>
      <c r="M1" s="73"/>
      <c r="N1" s="73"/>
    </row>
    <row r="2" spans="1:17" ht="30.95" customHeight="1" x14ac:dyDescent="0.3">
      <c r="A2" s="76" t="s">
        <v>26</v>
      </c>
      <c r="B2" s="76"/>
      <c r="C2" s="76"/>
      <c r="D2" s="77"/>
      <c r="E2" s="73" t="s">
        <v>56</v>
      </c>
      <c r="F2" s="73"/>
      <c r="G2" s="73"/>
      <c r="H2" s="73"/>
      <c r="I2" s="73"/>
      <c r="J2" s="73"/>
      <c r="K2" s="73"/>
      <c r="L2" s="73"/>
      <c r="M2" s="73"/>
      <c r="N2" s="73"/>
    </row>
    <row r="3" spans="1:17" ht="30.95" customHeight="1" x14ac:dyDescent="0.3">
      <c r="A3" s="76" t="s">
        <v>27</v>
      </c>
      <c r="B3" s="76"/>
      <c r="C3" s="76"/>
      <c r="D3" s="77"/>
      <c r="E3" s="73" t="s">
        <v>57</v>
      </c>
      <c r="F3" s="73"/>
      <c r="G3" s="73"/>
      <c r="H3" s="73"/>
      <c r="I3" s="73"/>
      <c r="J3" s="73"/>
      <c r="K3" s="73"/>
      <c r="L3" s="73"/>
      <c r="M3" s="73"/>
      <c r="N3" s="73"/>
    </row>
    <row r="4" spans="1:17" ht="30.95" customHeight="1" x14ac:dyDescent="0.3">
      <c r="A4" s="76" t="s">
        <v>28</v>
      </c>
      <c r="B4" s="76"/>
      <c r="C4" s="76"/>
      <c r="D4" s="77"/>
      <c r="E4" s="78" t="s">
        <v>58</v>
      </c>
      <c r="F4" s="73"/>
      <c r="G4" s="73"/>
      <c r="H4" s="73"/>
      <c r="I4" s="73"/>
      <c r="J4" s="73"/>
      <c r="K4" s="73"/>
      <c r="L4" s="73"/>
      <c r="M4" s="73"/>
      <c r="N4" s="73"/>
    </row>
    <row r="5" spans="1:17" ht="30.95" customHeight="1" x14ac:dyDescent="0.3">
      <c r="A5" s="76" t="s">
        <v>29</v>
      </c>
      <c r="B5" s="76"/>
      <c r="C5" s="76"/>
      <c r="D5" s="77"/>
      <c r="E5" s="79" t="s">
        <v>59</v>
      </c>
      <c r="F5" s="80"/>
      <c r="G5" s="80"/>
      <c r="H5" s="80"/>
      <c r="I5" s="80"/>
      <c r="J5" s="80"/>
      <c r="K5" s="80"/>
      <c r="L5" s="80"/>
      <c r="M5" s="80"/>
      <c r="N5" s="81"/>
    </row>
    <row r="6" spans="1:17" ht="30.95" customHeight="1" x14ac:dyDescent="0.3">
      <c r="A6" s="82" t="s">
        <v>30</v>
      </c>
      <c r="B6" s="83"/>
      <c r="C6" s="83"/>
      <c r="D6" s="83"/>
      <c r="E6" s="84" t="s">
        <v>60</v>
      </c>
      <c r="F6" s="85"/>
      <c r="G6" s="85"/>
      <c r="H6" s="85"/>
      <c r="I6" s="85"/>
      <c r="J6" s="85"/>
      <c r="K6" s="85"/>
      <c r="L6" s="85"/>
      <c r="M6" s="85"/>
      <c r="N6" s="86"/>
    </row>
    <row r="7" spans="1:17" ht="30.95" customHeight="1" x14ac:dyDescent="0.3">
      <c r="A7" s="70" t="s">
        <v>31</v>
      </c>
      <c r="B7" s="70"/>
      <c r="C7" s="70"/>
      <c r="D7" s="71"/>
      <c r="E7" s="72" t="s">
        <v>61</v>
      </c>
      <c r="F7" s="73"/>
      <c r="G7" s="73"/>
      <c r="H7" s="73"/>
      <c r="I7" s="73"/>
      <c r="J7" s="73"/>
      <c r="K7" s="73"/>
      <c r="L7" s="73"/>
      <c r="M7" s="73"/>
      <c r="N7" s="73"/>
    </row>
    <row r="8" spans="1:17" ht="24" customHeight="1" x14ac:dyDescent="0.3">
      <c r="A8" s="68" t="s">
        <v>32</v>
      </c>
      <c r="B8" s="68"/>
      <c r="C8" s="68"/>
      <c r="D8" s="68"/>
      <c r="E8" s="69"/>
      <c r="F8" s="69"/>
      <c r="G8" s="69"/>
      <c r="H8" s="69"/>
      <c r="I8" s="69"/>
      <c r="J8" s="69"/>
      <c r="K8" s="69"/>
      <c r="L8" s="69"/>
      <c r="M8" s="69"/>
      <c r="N8" s="69"/>
    </row>
    <row r="9" spans="1:17" ht="7.5" customHeight="1" x14ac:dyDescent="0.3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</row>
    <row r="10" spans="1:17" ht="26.25" hidden="1" customHeight="1" x14ac:dyDescent="0.3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</row>
    <row r="11" spans="1:17" s="1" customFormat="1" ht="154.5" customHeight="1" x14ac:dyDescent="0.3">
      <c r="A11" s="11" t="s">
        <v>33</v>
      </c>
      <c r="B11" s="11" t="s">
        <v>34</v>
      </c>
      <c r="C11" s="74" t="s">
        <v>35</v>
      </c>
      <c r="D11" s="75"/>
      <c r="E11" s="74" t="s">
        <v>36</v>
      </c>
      <c r="F11" s="74"/>
      <c r="G11" s="12" t="s">
        <v>37</v>
      </c>
      <c r="H11" s="74" t="s">
        <v>38</v>
      </c>
      <c r="I11" s="74"/>
      <c r="J11" s="74"/>
      <c r="K11" s="11" t="s">
        <v>39</v>
      </c>
      <c r="L11" s="11" t="s">
        <v>40</v>
      </c>
      <c r="M11" s="11" t="s">
        <v>41</v>
      </c>
      <c r="N11" s="11" t="s">
        <v>42</v>
      </c>
    </row>
    <row r="12" spans="1:17" s="2" customFormat="1" ht="21" customHeight="1" x14ac:dyDescent="0.25">
      <c r="A12" s="13">
        <v>1</v>
      </c>
      <c r="B12" s="13">
        <v>2</v>
      </c>
      <c r="C12" s="13">
        <v>3</v>
      </c>
      <c r="D12" s="14">
        <v>4</v>
      </c>
      <c r="E12" s="13">
        <v>5</v>
      </c>
      <c r="F12" s="13">
        <v>6</v>
      </c>
      <c r="G12" s="14">
        <v>7</v>
      </c>
      <c r="H12" s="13">
        <v>8</v>
      </c>
      <c r="I12" s="13">
        <v>9</v>
      </c>
      <c r="J12" s="13">
        <v>10</v>
      </c>
      <c r="K12" s="13">
        <v>11</v>
      </c>
      <c r="L12" s="13">
        <v>12</v>
      </c>
      <c r="M12" s="13">
        <v>13</v>
      </c>
      <c r="N12" s="13">
        <v>14</v>
      </c>
      <c r="Q12" s="2">
        <f>79136+702</f>
        <v>79838</v>
      </c>
    </row>
    <row r="13" spans="1:17" s="2" customFormat="1" ht="24.95" customHeight="1" x14ac:dyDescent="0.3">
      <c r="A13" s="15"/>
      <c r="B13" s="15"/>
      <c r="C13" s="16" t="s">
        <v>43</v>
      </c>
      <c r="D13" s="17" t="s">
        <v>44</v>
      </c>
      <c r="E13" s="16" t="s">
        <v>43</v>
      </c>
      <c r="F13" s="16" t="s">
        <v>44</v>
      </c>
      <c r="G13" s="17"/>
      <c r="H13" s="16" t="s">
        <v>45</v>
      </c>
      <c r="I13" s="16" t="s">
        <v>46</v>
      </c>
      <c r="J13" s="16" t="s">
        <v>47</v>
      </c>
      <c r="K13" s="37" t="s">
        <v>48</v>
      </c>
      <c r="L13" s="59"/>
      <c r="M13" s="60"/>
      <c r="N13" s="61"/>
      <c r="Q13" s="2">
        <f>702+78434+78434-79136</f>
        <v>78434</v>
      </c>
    </row>
    <row r="14" spans="1:17" ht="30" customHeight="1" x14ac:dyDescent="0.3">
      <c r="A14" s="18">
        <v>1</v>
      </c>
      <c r="B14" s="19">
        <v>0</v>
      </c>
      <c r="C14" s="27">
        <v>44506</v>
      </c>
      <c r="D14" s="19">
        <v>3044000</v>
      </c>
      <c r="E14" s="27"/>
      <c r="F14" s="19"/>
      <c r="G14" s="20">
        <f t="shared" ref="G14:G54" si="0">B14+D14-F14</f>
        <v>3044000</v>
      </c>
      <c r="H14" s="27">
        <f>+C14</f>
        <v>44506</v>
      </c>
      <c r="I14" s="27">
        <f>H15-1</f>
        <v>44717</v>
      </c>
      <c r="J14" s="28">
        <f>I14-H14+1</f>
        <v>212</v>
      </c>
      <c r="K14" s="19">
        <f>ROUND(SUM(G14/365*J14*6/100),0)</f>
        <v>106081</v>
      </c>
      <c r="L14" s="59">
        <v>44531</v>
      </c>
      <c r="M14" s="60">
        <v>9.5</v>
      </c>
      <c r="N14" s="62">
        <v>19807</v>
      </c>
      <c r="P14" s="4">
        <f>7.75+0.15</f>
        <v>7.9</v>
      </c>
    </row>
    <row r="15" spans="1:17" ht="30" customHeight="1" x14ac:dyDescent="0.3">
      <c r="A15" s="18">
        <v>2</v>
      </c>
      <c r="B15" s="19">
        <f>G14</f>
        <v>3044000</v>
      </c>
      <c r="C15" s="27"/>
      <c r="D15" s="19"/>
      <c r="E15" s="27">
        <v>44718</v>
      </c>
      <c r="F15" s="19">
        <v>42300</v>
      </c>
      <c r="G15" s="20">
        <f t="shared" si="0"/>
        <v>3001700</v>
      </c>
      <c r="H15" s="27">
        <f>+E15</f>
        <v>44718</v>
      </c>
      <c r="I15" s="27">
        <f t="shared" ref="I15:I53" si="1">H16-1</f>
        <v>44747</v>
      </c>
      <c r="J15" s="28">
        <f t="shared" ref="J15:J54" si="2">I15-H15+1</f>
        <v>30</v>
      </c>
      <c r="K15" s="19">
        <f t="shared" ref="K15:K54" si="3">ROUND(SUM(G15/365*J15*6/100),0)</f>
        <v>14803</v>
      </c>
      <c r="L15" s="27">
        <v>44562</v>
      </c>
      <c r="M15" s="60">
        <v>9.5</v>
      </c>
      <c r="N15" s="20">
        <v>24560</v>
      </c>
    </row>
    <row r="16" spans="1:17" ht="30" customHeight="1" x14ac:dyDescent="0.3">
      <c r="A16" s="18">
        <v>3</v>
      </c>
      <c r="B16" s="19">
        <f>G15</f>
        <v>3001700</v>
      </c>
      <c r="C16" s="27"/>
      <c r="D16" s="19"/>
      <c r="E16" s="27">
        <v>44748</v>
      </c>
      <c r="F16" s="19">
        <v>42300</v>
      </c>
      <c r="G16" s="20">
        <f t="shared" si="0"/>
        <v>2959400</v>
      </c>
      <c r="H16" s="27">
        <f t="shared" ref="H16:H54" si="4">+E16</f>
        <v>44748</v>
      </c>
      <c r="I16" s="27">
        <f t="shared" si="1"/>
        <v>44772</v>
      </c>
      <c r="J16" s="28">
        <f t="shared" si="2"/>
        <v>25</v>
      </c>
      <c r="K16" s="19">
        <f t="shared" si="3"/>
        <v>12162</v>
      </c>
      <c r="L16" s="27">
        <v>44593</v>
      </c>
      <c r="M16" s="60">
        <v>9.5</v>
      </c>
      <c r="N16" s="20">
        <v>24561</v>
      </c>
      <c r="P16" s="4">
        <f>86100+800+86100</f>
        <v>173000</v>
      </c>
    </row>
    <row r="17" spans="1:14" customFormat="1" ht="30" customHeight="1" x14ac:dyDescent="0.3">
      <c r="A17" s="18">
        <v>4</v>
      </c>
      <c r="B17" s="19">
        <f t="shared" ref="B17:B54" si="5">G16</f>
        <v>2959400</v>
      </c>
      <c r="C17" s="27"/>
      <c r="D17" s="19"/>
      <c r="E17" s="27">
        <v>44773</v>
      </c>
      <c r="F17" s="19">
        <v>7</v>
      </c>
      <c r="G17" s="20">
        <f t="shared" si="0"/>
        <v>2959393</v>
      </c>
      <c r="H17" s="27">
        <f t="shared" si="4"/>
        <v>44773</v>
      </c>
      <c r="I17" s="27">
        <f t="shared" si="1"/>
        <v>44778</v>
      </c>
      <c r="J17" s="28">
        <f t="shared" si="2"/>
        <v>6</v>
      </c>
      <c r="K17" s="19">
        <f t="shared" si="3"/>
        <v>2919</v>
      </c>
      <c r="L17" s="27">
        <v>44621</v>
      </c>
      <c r="M17" s="60">
        <v>9.5</v>
      </c>
      <c r="N17" s="20">
        <v>22184</v>
      </c>
    </row>
    <row r="18" spans="1:14" customFormat="1" ht="30" customHeight="1" x14ac:dyDescent="0.3">
      <c r="A18" s="18">
        <v>5</v>
      </c>
      <c r="B18" s="19">
        <f t="shared" si="5"/>
        <v>2959393</v>
      </c>
      <c r="C18" s="27"/>
      <c r="D18" s="19"/>
      <c r="E18" s="27">
        <v>44779</v>
      </c>
      <c r="F18" s="19">
        <v>42293</v>
      </c>
      <c r="G18" s="20">
        <f t="shared" si="0"/>
        <v>2917100</v>
      </c>
      <c r="H18" s="27">
        <f t="shared" si="4"/>
        <v>44779</v>
      </c>
      <c r="I18" s="27">
        <f t="shared" si="1"/>
        <v>44809</v>
      </c>
      <c r="J18" s="28">
        <f t="shared" si="2"/>
        <v>31</v>
      </c>
      <c r="K18" s="19">
        <f t="shared" si="3"/>
        <v>14865</v>
      </c>
      <c r="L18" s="59">
        <v>44652</v>
      </c>
      <c r="M18" s="60">
        <v>9.5</v>
      </c>
      <c r="N18" s="62">
        <v>24560</v>
      </c>
    </row>
    <row r="19" spans="1:14" customFormat="1" ht="30" customHeight="1" x14ac:dyDescent="0.3">
      <c r="A19" s="18">
        <v>6</v>
      </c>
      <c r="B19" s="19">
        <f t="shared" si="5"/>
        <v>2917100</v>
      </c>
      <c r="C19" s="27"/>
      <c r="D19" s="19"/>
      <c r="E19" s="27">
        <v>44810</v>
      </c>
      <c r="F19" s="19">
        <v>42300</v>
      </c>
      <c r="G19" s="20">
        <f t="shared" si="0"/>
        <v>2874800</v>
      </c>
      <c r="H19" s="27">
        <f t="shared" si="4"/>
        <v>44810</v>
      </c>
      <c r="I19" s="27">
        <f t="shared" si="1"/>
        <v>44839</v>
      </c>
      <c r="J19" s="28">
        <f t="shared" si="2"/>
        <v>30</v>
      </c>
      <c r="K19" s="19">
        <f t="shared" si="3"/>
        <v>14177</v>
      </c>
      <c r="L19" s="27">
        <v>44682</v>
      </c>
      <c r="M19" s="60">
        <v>9.5</v>
      </c>
      <c r="N19" s="20">
        <v>23775</v>
      </c>
    </row>
    <row r="20" spans="1:14" customFormat="1" ht="30" customHeight="1" x14ac:dyDescent="0.3">
      <c r="A20" s="18">
        <v>7</v>
      </c>
      <c r="B20" s="19">
        <f t="shared" si="5"/>
        <v>2874800</v>
      </c>
      <c r="C20" s="38"/>
      <c r="D20" s="19"/>
      <c r="E20" s="27">
        <v>44840</v>
      </c>
      <c r="F20" s="19">
        <v>42300</v>
      </c>
      <c r="G20" s="20">
        <f t="shared" si="0"/>
        <v>2832500</v>
      </c>
      <c r="H20" s="27">
        <f t="shared" si="4"/>
        <v>44840</v>
      </c>
      <c r="I20" s="27">
        <f t="shared" si="1"/>
        <v>44870</v>
      </c>
      <c r="J20" s="28">
        <f t="shared" si="2"/>
        <v>31</v>
      </c>
      <c r="K20" s="19">
        <f t="shared" si="3"/>
        <v>14434</v>
      </c>
      <c r="L20" s="27">
        <v>44713</v>
      </c>
      <c r="M20" s="60">
        <v>9.5</v>
      </c>
      <c r="N20" s="20">
        <v>24748</v>
      </c>
    </row>
    <row r="21" spans="1:14" customFormat="1" ht="30" customHeight="1" x14ac:dyDescent="0.3">
      <c r="A21" s="18">
        <v>8</v>
      </c>
      <c r="B21" s="19">
        <f t="shared" si="5"/>
        <v>2832500</v>
      </c>
      <c r="C21" s="38"/>
      <c r="D21" s="19"/>
      <c r="E21" s="27">
        <v>44871</v>
      </c>
      <c r="F21" s="19">
        <v>42300</v>
      </c>
      <c r="G21" s="20">
        <f t="shared" si="0"/>
        <v>2790200</v>
      </c>
      <c r="H21" s="27">
        <f t="shared" si="4"/>
        <v>44871</v>
      </c>
      <c r="I21" s="27">
        <f t="shared" si="1"/>
        <v>44900</v>
      </c>
      <c r="J21" s="28">
        <f t="shared" si="2"/>
        <v>30</v>
      </c>
      <c r="K21" s="19">
        <f t="shared" si="3"/>
        <v>13760</v>
      </c>
      <c r="L21" s="27">
        <v>44742</v>
      </c>
      <c r="M21" s="60">
        <v>9.5</v>
      </c>
      <c r="N21" s="20">
        <v>24769</v>
      </c>
    </row>
    <row r="22" spans="1:14" customFormat="1" ht="30" customHeight="1" x14ac:dyDescent="0.3">
      <c r="A22" s="18">
        <v>9</v>
      </c>
      <c r="B22" s="19">
        <f t="shared" si="5"/>
        <v>2790200</v>
      </c>
      <c r="C22" s="38"/>
      <c r="D22" s="19"/>
      <c r="E22" s="27">
        <v>44901</v>
      </c>
      <c r="F22" s="19">
        <v>42300</v>
      </c>
      <c r="G22" s="20">
        <f t="shared" si="0"/>
        <v>2747900</v>
      </c>
      <c r="H22" s="27">
        <f t="shared" si="4"/>
        <v>44901</v>
      </c>
      <c r="I22" s="27">
        <f t="shared" si="1"/>
        <v>44931</v>
      </c>
      <c r="J22" s="28">
        <f t="shared" si="2"/>
        <v>31</v>
      </c>
      <c r="K22" s="19">
        <f t="shared" si="3"/>
        <v>14003</v>
      </c>
      <c r="L22" s="27">
        <v>44773</v>
      </c>
      <c r="M22" s="60">
        <v>9.5</v>
      </c>
      <c r="N22" s="20">
        <v>25822</v>
      </c>
    </row>
    <row r="23" spans="1:14" customFormat="1" ht="30" customHeight="1" x14ac:dyDescent="0.3">
      <c r="A23" s="18">
        <v>10</v>
      </c>
      <c r="B23" s="19">
        <f t="shared" si="5"/>
        <v>2747900</v>
      </c>
      <c r="C23" s="38"/>
      <c r="D23" s="19"/>
      <c r="E23" s="27">
        <v>44932</v>
      </c>
      <c r="F23" s="19">
        <v>42300</v>
      </c>
      <c r="G23" s="20">
        <f t="shared" si="0"/>
        <v>2705600</v>
      </c>
      <c r="H23" s="27">
        <f t="shared" si="4"/>
        <v>44932</v>
      </c>
      <c r="I23" s="27">
        <f t="shared" si="1"/>
        <v>44962</v>
      </c>
      <c r="J23" s="28">
        <f t="shared" si="2"/>
        <v>31</v>
      </c>
      <c r="K23" s="19">
        <f t="shared" si="3"/>
        <v>13787</v>
      </c>
      <c r="L23" s="27">
        <v>44804</v>
      </c>
      <c r="M23" s="60">
        <v>9.5</v>
      </c>
      <c r="N23" s="20">
        <v>25454</v>
      </c>
    </row>
    <row r="24" spans="1:14" customFormat="1" ht="30" customHeight="1" x14ac:dyDescent="0.3">
      <c r="A24" s="18">
        <v>11</v>
      </c>
      <c r="B24" s="19">
        <f t="shared" si="5"/>
        <v>2705600</v>
      </c>
      <c r="C24" s="38"/>
      <c r="D24" s="19"/>
      <c r="E24" s="27">
        <v>44963</v>
      </c>
      <c r="F24" s="19">
        <v>42300</v>
      </c>
      <c r="G24" s="20">
        <f t="shared" si="0"/>
        <v>2663300</v>
      </c>
      <c r="H24" s="27">
        <f t="shared" si="4"/>
        <v>44963</v>
      </c>
      <c r="I24" s="27">
        <f t="shared" si="1"/>
        <v>44990</v>
      </c>
      <c r="J24" s="28">
        <f t="shared" si="2"/>
        <v>28</v>
      </c>
      <c r="K24" s="19">
        <f t="shared" si="3"/>
        <v>12258</v>
      </c>
      <c r="L24" s="27">
        <v>44834</v>
      </c>
      <c r="M24" s="60">
        <v>9.5</v>
      </c>
      <c r="N24" s="20">
        <v>24279</v>
      </c>
    </row>
    <row r="25" spans="1:14" customFormat="1" ht="30" customHeight="1" x14ac:dyDescent="0.3">
      <c r="A25" s="18">
        <v>12</v>
      </c>
      <c r="B25" s="19">
        <f t="shared" si="5"/>
        <v>2663300</v>
      </c>
      <c r="C25" s="38"/>
      <c r="D25" s="19"/>
      <c r="E25" s="27">
        <v>44991</v>
      </c>
      <c r="F25" s="19">
        <v>42300</v>
      </c>
      <c r="G25" s="20">
        <f t="shared" si="0"/>
        <v>2621000</v>
      </c>
      <c r="H25" s="27">
        <f t="shared" si="4"/>
        <v>44991</v>
      </c>
      <c r="I25" s="27">
        <f t="shared" si="1"/>
        <v>45021</v>
      </c>
      <c r="J25" s="28">
        <f t="shared" si="2"/>
        <v>31</v>
      </c>
      <c r="K25" s="19">
        <f t="shared" si="3"/>
        <v>13356</v>
      </c>
      <c r="L25" s="27">
        <v>44865</v>
      </c>
      <c r="M25" s="60">
        <v>9.5</v>
      </c>
      <c r="N25" s="20">
        <v>24718</v>
      </c>
    </row>
    <row r="26" spans="1:14" customFormat="1" ht="30" customHeight="1" x14ac:dyDescent="0.3">
      <c r="A26" s="18">
        <v>13</v>
      </c>
      <c r="B26" s="19">
        <f t="shared" si="5"/>
        <v>2621000</v>
      </c>
      <c r="C26" s="38"/>
      <c r="D26" s="19"/>
      <c r="E26" s="27">
        <v>45022</v>
      </c>
      <c r="F26" s="19">
        <v>42300</v>
      </c>
      <c r="G26" s="20">
        <f t="shared" si="0"/>
        <v>2578700</v>
      </c>
      <c r="H26" s="27">
        <f t="shared" si="4"/>
        <v>45022</v>
      </c>
      <c r="I26" s="27">
        <f t="shared" si="1"/>
        <v>45051</v>
      </c>
      <c r="J26" s="28">
        <f t="shared" si="2"/>
        <v>30</v>
      </c>
      <c r="K26" s="19">
        <f t="shared" si="3"/>
        <v>12717</v>
      </c>
      <c r="L26" s="27">
        <v>44895</v>
      </c>
      <c r="M26" s="60">
        <v>9.5</v>
      </c>
      <c r="N26" s="20">
        <v>23566</v>
      </c>
    </row>
    <row r="27" spans="1:14" customFormat="1" ht="30" customHeight="1" x14ac:dyDescent="0.3">
      <c r="A27" s="18">
        <v>14</v>
      </c>
      <c r="B27" s="19">
        <f t="shared" si="5"/>
        <v>2578700</v>
      </c>
      <c r="C27" s="38"/>
      <c r="D27" s="19"/>
      <c r="E27" s="27">
        <v>45052</v>
      </c>
      <c r="F27" s="19">
        <v>42300</v>
      </c>
      <c r="G27" s="20">
        <f t="shared" si="0"/>
        <v>2536400</v>
      </c>
      <c r="H27" s="27">
        <f t="shared" si="4"/>
        <v>45052</v>
      </c>
      <c r="I27" s="27">
        <f t="shared" si="1"/>
        <v>45082</v>
      </c>
      <c r="J27" s="28">
        <f t="shared" si="2"/>
        <v>31</v>
      </c>
      <c r="K27" s="19">
        <f t="shared" si="3"/>
        <v>12925</v>
      </c>
      <c r="L27" s="27">
        <v>44926</v>
      </c>
      <c r="M27" s="60">
        <v>9.5</v>
      </c>
      <c r="N27" s="20">
        <v>24621</v>
      </c>
    </row>
    <row r="28" spans="1:14" customFormat="1" ht="30" customHeight="1" x14ac:dyDescent="0.3">
      <c r="A28" s="18">
        <v>15</v>
      </c>
      <c r="B28" s="19">
        <f t="shared" si="5"/>
        <v>2536400</v>
      </c>
      <c r="C28" s="38"/>
      <c r="D28" s="19"/>
      <c r="E28" s="27">
        <v>45083</v>
      </c>
      <c r="F28" s="19">
        <v>42300</v>
      </c>
      <c r="G28" s="20">
        <f t="shared" si="0"/>
        <v>2494100</v>
      </c>
      <c r="H28" s="27">
        <f t="shared" si="4"/>
        <v>45083</v>
      </c>
      <c r="I28" s="27">
        <f t="shared" si="1"/>
        <v>45112</v>
      </c>
      <c r="J28" s="28">
        <f t="shared" si="2"/>
        <v>30</v>
      </c>
      <c r="K28" s="19">
        <f t="shared" si="3"/>
        <v>12300</v>
      </c>
      <c r="L28" s="27">
        <v>44957</v>
      </c>
      <c r="M28" s="60">
        <v>9.5</v>
      </c>
      <c r="N28" s="20">
        <v>24764</v>
      </c>
    </row>
    <row r="29" spans="1:14" customFormat="1" ht="30" customHeight="1" x14ac:dyDescent="0.3">
      <c r="A29" s="18">
        <v>16</v>
      </c>
      <c r="B29" s="19">
        <f t="shared" si="5"/>
        <v>2494100</v>
      </c>
      <c r="C29" s="38"/>
      <c r="D29" s="19"/>
      <c r="E29" s="27">
        <v>45113</v>
      </c>
      <c r="F29" s="19">
        <v>42300</v>
      </c>
      <c r="G29" s="20">
        <f t="shared" si="0"/>
        <v>2451800</v>
      </c>
      <c r="H29" s="27">
        <f t="shared" si="4"/>
        <v>45113</v>
      </c>
      <c r="I29" s="27">
        <f t="shared" si="1"/>
        <v>45143</v>
      </c>
      <c r="J29" s="28">
        <f t="shared" si="2"/>
        <v>31</v>
      </c>
      <c r="K29" s="19">
        <f t="shared" si="3"/>
        <v>12494</v>
      </c>
      <c r="L29" s="27">
        <v>44985</v>
      </c>
      <c r="M29" s="60">
        <v>9.5</v>
      </c>
      <c r="N29" s="20">
        <v>22318</v>
      </c>
    </row>
    <row r="30" spans="1:14" customFormat="1" ht="30" customHeight="1" x14ac:dyDescent="0.3">
      <c r="A30" s="18">
        <v>17</v>
      </c>
      <c r="B30" s="19">
        <f t="shared" si="5"/>
        <v>2451800</v>
      </c>
      <c r="C30" s="38"/>
      <c r="D30" s="19"/>
      <c r="E30" s="27">
        <v>45144</v>
      </c>
      <c r="F30" s="19">
        <v>42300</v>
      </c>
      <c r="G30" s="20">
        <f t="shared" si="0"/>
        <v>2409500</v>
      </c>
      <c r="H30" s="27">
        <f t="shared" si="4"/>
        <v>45144</v>
      </c>
      <c r="I30" s="27">
        <f t="shared" si="1"/>
        <v>45174</v>
      </c>
      <c r="J30" s="28">
        <f t="shared" si="2"/>
        <v>31</v>
      </c>
      <c r="K30" s="19">
        <f t="shared" si="3"/>
        <v>12279</v>
      </c>
      <c r="L30" s="27">
        <v>45016</v>
      </c>
      <c r="M30" s="60">
        <v>9.5</v>
      </c>
      <c r="N30" s="20">
        <v>24550</v>
      </c>
    </row>
    <row r="31" spans="1:14" customFormat="1" ht="30" customHeight="1" x14ac:dyDescent="0.3">
      <c r="A31" s="18">
        <v>18</v>
      </c>
      <c r="B31" s="19">
        <f t="shared" si="5"/>
        <v>2409500</v>
      </c>
      <c r="C31" s="38"/>
      <c r="D31" s="19"/>
      <c r="E31" s="27">
        <v>45175</v>
      </c>
      <c r="F31" s="19">
        <v>42300</v>
      </c>
      <c r="G31" s="20">
        <f t="shared" si="0"/>
        <v>2367200</v>
      </c>
      <c r="H31" s="27">
        <f t="shared" si="4"/>
        <v>45175</v>
      </c>
      <c r="I31" s="27">
        <f t="shared" si="1"/>
        <v>45204</v>
      </c>
      <c r="J31" s="28">
        <f t="shared" si="2"/>
        <v>30</v>
      </c>
      <c r="K31" s="19">
        <f t="shared" si="3"/>
        <v>11674</v>
      </c>
      <c r="L31" s="27">
        <v>45046</v>
      </c>
      <c r="M31" s="60">
        <v>9.5</v>
      </c>
      <c r="N31" s="20">
        <v>23378</v>
      </c>
    </row>
    <row r="32" spans="1:14" customFormat="1" ht="30" customHeight="1" x14ac:dyDescent="0.3">
      <c r="A32" s="18">
        <v>19</v>
      </c>
      <c r="B32" s="19">
        <f t="shared" si="5"/>
        <v>2367200</v>
      </c>
      <c r="C32" s="38"/>
      <c r="D32" s="19"/>
      <c r="E32" s="27">
        <v>45205</v>
      </c>
      <c r="F32" s="19">
        <v>42300</v>
      </c>
      <c r="G32" s="20">
        <f t="shared" si="0"/>
        <v>2324900</v>
      </c>
      <c r="H32" s="27">
        <f t="shared" si="4"/>
        <v>45205</v>
      </c>
      <c r="I32" s="27">
        <f t="shared" si="1"/>
        <v>45235</v>
      </c>
      <c r="J32" s="28">
        <f t="shared" si="2"/>
        <v>31</v>
      </c>
      <c r="K32" s="19">
        <f t="shared" si="3"/>
        <v>11847</v>
      </c>
      <c r="L32" s="27">
        <v>45077</v>
      </c>
      <c r="M32" s="60">
        <v>9.5</v>
      </c>
      <c r="N32" s="20">
        <v>23760</v>
      </c>
    </row>
    <row r="33" spans="1:14" customFormat="1" ht="30" customHeight="1" x14ac:dyDescent="0.3">
      <c r="A33" s="18">
        <v>20</v>
      </c>
      <c r="B33" s="19">
        <f t="shared" si="5"/>
        <v>2324900</v>
      </c>
      <c r="C33" s="38"/>
      <c r="D33" s="19"/>
      <c r="E33" s="27">
        <v>45236</v>
      </c>
      <c r="F33" s="19">
        <v>42300</v>
      </c>
      <c r="G33" s="20">
        <f t="shared" si="0"/>
        <v>2282600</v>
      </c>
      <c r="H33" s="27">
        <f t="shared" si="4"/>
        <v>45236</v>
      </c>
      <c r="I33" s="27">
        <f t="shared" si="1"/>
        <v>45265</v>
      </c>
      <c r="J33" s="28">
        <f t="shared" si="2"/>
        <v>30</v>
      </c>
      <c r="K33" s="19">
        <f t="shared" si="3"/>
        <v>11257</v>
      </c>
      <c r="L33" s="27">
        <v>45107</v>
      </c>
      <c r="M33" s="60">
        <v>9.5</v>
      </c>
      <c r="N33" s="20">
        <v>22613</v>
      </c>
    </row>
    <row r="34" spans="1:14" customFormat="1" ht="30" customHeight="1" x14ac:dyDescent="0.3">
      <c r="A34" s="18">
        <v>21</v>
      </c>
      <c r="B34" s="19">
        <f t="shared" si="5"/>
        <v>2282600</v>
      </c>
      <c r="C34" s="38"/>
      <c r="D34" s="19"/>
      <c r="E34" s="27">
        <v>45266</v>
      </c>
      <c r="F34" s="19">
        <v>42300</v>
      </c>
      <c r="G34" s="20">
        <f t="shared" si="0"/>
        <v>2240300</v>
      </c>
      <c r="H34" s="27">
        <f t="shared" si="4"/>
        <v>45266</v>
      </c>
      <c r="I34" s="27">
        <f t="shared" si="1"/>
        <v>45296</v>
      </c>
      <c r="J34" s="28">
        <f t="shared" si="2"/>
        <v>31</v>
      </c>
      <c r="K34" s="19">
        <f t="shared" si="3"/>
        <v>11416</v>
      </c>
      <c r="L34" s="27">
        <v>45138</v>
      </c>
      <c r="M34" s="60">
        <v>9.5</v>
      </c>
      <c r="N34" s="20">
        <v>22970</v>
      </c>
    </row>
    <row r="35" spans="1:14" customFormat="1" ht="30" customHeight="1" x14ac:dyDescent="0.3">
      <c r="A35" s="18">
        <v>22</v>
      </c>
      <c r="B35" s="19">
        <f t="shared" si="5"/>
        <v>2240300</v>
      </c>
      <c r="C35" s="38"/>
      <c r="D35" s="19"/>
      <c r="E35" s="27">
        <v>45297</v>
      </c>
      <c r="F35" s="19">
        <v>42300</v>
      </c>
      <c r="G35" s="20">
        <f t="shared" si="0"/>
        <v>2198000</v>
      </c>
      <c r="H35" s="27">
        <f t="shared" si="4"/>
        <v>45297</v>
      </c>
      <c r="I35" s="27">
        <f t="shared" si="1"/>
        <v>45327</v>
      </c>
      <c r="J35" s="28">
        <f t="shared" si="2"/>
        <v>31</v>
      </c>
      <c r="K35" s="19">
        <f t="shared" si="3"/>
        <v>11201</v>
      </c>
      <c r="L35" s="27">
        <v>45169</v>
      </c>
      <c r="M35" s="60">
        <v>9.5</v>
      </c>
      <c r="N35" s="20">
        <v>22574</v>
      </c>
    </row>
    <row r="36" spans="1:14" customFormat="1" ht="30" customHeight="1" x14ac:dyDescent="0.3">
      <c r="A36" s="18">
        <v>23</v>
      </c>
      <c r="B36" s="19">
        <f t="shared" si="5"/>
        <v>2198000</v>
      </c>
      <c r="C36" s="38"/>
      <c r="D36" s="19"/>
      <c r="E36" s="27">
        <v>45328</v>
      </c>
      <c r="F36" s="19">
        <v>42300</v>
      </c>
      <c r="G36" s="20">
        <f t="shared" si="0"/>
        <v>2155700</v>
      </c>
      <c r="H36" s="27">
        <f t="shared" si="4"/>
        <v>45328</v>
      </c>
      <c r="I36" s="27">
        <f t="shared" si="1"/>
        <v>45356</v>
      </c>
      <c r="J36" s="28">
        <f t="shared" si="2"/>
        <v>29</v>
      </c>
      <c r="K36" s="19">
        <f t="shared" si="3"/>
        <v>10276</v>
      </c>
      <c r="L36" s="27">
        <v>45199</v>
      </c>
      <c r="M36" s="60">
        <v>9.5</v>
      </c>
      <c r="N36" s="20">
        <v>21466</v>
      </c>
    </row>
    <row r="37" spans="1:14" customFormat="1" ht="30" customHeight="1" x14ac:dyDescent="0.3">
      <c r="A37" s="18">
        <v>24</v>
      </c>
      <c r="B37" s="19">
        <f t="shared" si="5"/>
        <v>2155700</v>
      </c>
      <c r="C37" s="38"/>
      <c r="D37" s="19"/>
      <c r="E37" s="27">
        <v>45357</v>
      </c>
      <c r="F37" s="19">
        <v>42300</v>
      </c>
      <c r="G37" s="20">
        <f t="shared" si="0"/>
        <v>2113400</v>
      </c>
      <c r="H37" s="27">
        <f t="shared" si="4"/>
        <v>45357</v>
      </c>
      <c r="I37" s="27">
        <f t="shared" si="1"/>
        <v>45387</v>
      </c>
      <c r="J37" s="28">
        <f t="shared" si="2"/>
        <v>31</v>
      </c>
      <c r="K37" s="19">
        <f t="shared" si="3"/>
        <v>10770</v>
      </c>
      <c r="L37" s="27">
        <v>45230</v>
      </c>
      <c r="M37" s="60">
        <v>9.5</v>
      </c>
      <c r="N37" s="20">
        <v>21784</v>
      </c>
    </row>
    <row r="38" spans="1:14" customFormat="1" ht="30" customHeight="1" x14ac:dyDescent="0.3">
      <c r="A38" s="18">
        <v>25</v>
      </c>
      <c r="B38" s="19">
        <f t="shared" si="5"/>
        <v>2113400</v>
      </c>
      <c r="C38" s="38"/>
      <c r="D38" s="19"/>
      <c r="E38" s="27">
        <v>45388</v>
      </c>
      <c r="F38" s="19">
        <v>42300</v>
      </c>
      <c r="G38" s="20">
        <f t="shared" si="0"/>
        <v>2071100</v>
      </c>
      <c r="H38" s="27">
        <f t="shared" si="4"/>
        <v>45388</v>
      </c>
      <c r="I38" s="27">
        <f t="shared" si="1"/>
        <v>45417</v>
      </c>
      <c r="J38" s="28">
        <f t="shared" si="2"/>
        <v>30</v>
      </c>
      <c r="K38" s="19">
        <f t="shared" si="3"/>
        <v>10214</v>
      </c>
      <c r="L38" s="27">
        <v>45260</v>
      </c>
      <c r="M38" s="60">
        <v>9.5</v>
      </c>
      <c r="N38" s="20">
        <v>20701</v>
      </c>
    </row>
    <row r="39" spans="1:14" customFormat="1" ht="30" customHeight="1" x14ac:dyDescent="0.3">
      <c r="A39" s="18">
        <v>26</v>
      </c>
      <c r="B39" s="19">
        <f t="shared" si="5"/>
        <v>2071100</v>
      </c>
      <c r="C39" s="38"/>
      <c r="D39" s="19"/>
      <c r="E39" s="27">
        <v>45418</v>
      </c>
      <c r="F39" s="19">
        <v>42300</v>
      </c>
      <c r="G39" s="20">
        <f t="shared" si="0"/>
        <v>2028800</v>
      </c>
      <c r="H39" s="27">
        <f t="shared" si="4"/>
        <v>45418</v>
      </c>
      <c r="I39" s="27">
        <f t="shared" si="1"/>
        <v>45448</v>
      </c>
      <c r="J39" s="28">
        <f t="shared" si="2"/>
        <v>31</v>
      </c>
      <c r="K39" s="19">
        <f t="shared" si="3"/>
        <v>10339</v>
      </c>
      <c r="L39" s="27">
        <v>45291</v>
      </c>
      <c r="M39" s="60">
        <v>9.5</v>
      </c>
      <c r="N39" s="20">
        <v>19382</v>
      </c>
    </row>
    <row r="40" spans="1:14" customFormat="1" ht="30" customHeight="1" x14ac:dyDescent="0.3">
      <c r="A40" s="18">
        <v>27</v>
      </c>
      <c r="B40" s="19">
        <f t="shared" si="5"/>
        <v>2028800</v>
      </c>
      <c r="C40" s="38"/>
      <c r="D40" s="19"/>
      <c r="E40" s="27">
        <v>45449</v>
      </c>
      <c r="F40" s="19">
        <v>42300</v>
      </c>
      <c r="G40" s="20">
        <f t="shared" si="0"/>
        <v>1986500</v>
      </c>
      <c r="H40" s="27">
        <f t="shared" si="4"/>
        <v>45449</v>
      </c>
      <c r="I40" s="27">
        <f t="shared" si="1"/>
        <v>45478</v>
      </c>
      <c r="J40" s="28">
        <f t="shared" si="2"/>
        <v>30</v>
      </c>
      <c r="K40" s="19">
        <f t="shared" si="3"/>
        <v>9796</v>
      </c>
      <c r="L40" s="27">
        <v>45322</v>
      </c>
      <c r="M40" s="60">
        <v>9.5</v>
      </c>
      <c r="N40" s="20">
        <v>18258</v>
      </c>
    </row>
    <row r="41" spans="1:14" customFormat="1" ht="30" customHeight="1" x14ac:dyDescent="0.3">
      <c r="A41" s="18">
        <v>28</v>
      </c>
      <c r="B41" s="19">
        <f t="shared" si="5"/>
        <v>1986500</v>
      </c>
      <c r="C41" s="38"/>
      <c r="D41" s="19"/>
      <c r="E41" s="27">
        <v>45479</v>
      </c>
      <c r="F41" s="19">
        <v>42300</v>
      </c>
      <c r="G41" s="20">
        <f t="shared" si="0"/>
        <v>1944200</v>
      </c>
      <c r="H41" s="27">
        <f t="shared" si="4"/>
        <v>45479</v>
      </c>
      <c r="I41" s="27">
        <f t="shared" si="1"/>
        <v>45509</v>
      </c>
      <c r="J41" s="28">
        <f t="shared" si="2"/>
        <v>31</v>
      </c>
      <c r="K41" s="19">
        <f t="shared" si="3"/>
        <v>9907</v>
      </c>
      <c r="L41" s="27">
        <v>45351</v>
      </c>
      <c r="M41" s="60">
        <v>9.5</v>
      </c>
      <c r="N41" s="20">
        <v>16756</v>
      </c>
    </row>
    <row r="42" spans="1:14" customFormat="1" ht="30" customHeight="1" x14ac:dyDescent="0.3">
      <c r="A42" s="18">
        <v>29</v>
      </c>
      <c r="B42" s="19">
        <f t="shared" si="5"/>
        <v>1944200</v>
      </c>
      <c r="C42" s="38"/>
      <c r="D42" s="19"/>
      <c r="E42" s="27">
        <v>45510</v>
      </c>
      <c r="F42" s="19">
        <v>42300</v>
      </c>
      <c r="G42" s="20">
        <f t="shared" si="0"/>
        <v>1901900</v>
      </c>
      <c r="H42" s="27">
        <f t="shared" si="4"/>
        <v>45510</v>
      </c>
      <c r="I42" s="27">
        <f t="shared" si="1"/>
        <v>45540</v>
      </c>
      <c r="J42" s="28">
        <f t="shared" si="2"/>
        <v>31</v>
      </c>
      <c r="K42" s="19">
        <f t="shared" si="3"/>
        <v>9692</v>
      </c>
      <c r="L42" s="27">
        <v>45382</v>
      </c>
      <c r="M42" s="60">
        <v>9.5</v>
      </c>
      <c r="N42" s="20">
        <v>17557</v>
      </c>
    </row>
    <row r="43" spans="1:14" customFormat="1" ht="30" customHeight="1" x14ac:dyDescent="0.3">
      <c r="A43" s="18">
        <v>30</v>
      </c>
      <c r="B43" s="19">
        <f t="shared" si="5"/>
        <v>1901900</v>
      </c>
      <c r="C43" s="38"/>
      <c r="D43" s="19"/>
      <c r="E43" s="27">
        <v>45541</v>
      </c>
      <c r="F43" s="19">
        <v>42300</v>
      </c>
      <c r="G43" s="20">
        <f t="shared" si="0"/>
        <v>1859600</v>
      </c>
      <c r="H43" s="27">
        <f t="shared" si="4"/>
        <v>45541</v>
      </c>
      <c r="I43" s="27">
        <f t="shared" si="1"/>
        <v>45570</v>
      </c>
      <c r="J43" s="28">
        <f t="shared" si="2"/>
        <v>30</v>
      </c>
      <c r="K43" s="19">
        <f t="shared" si="3"/>
        <v>9171</v>
      </c>
      <c r="L43" s="27">
        <v>45412</v>
      </c>
      <c r="M43" s="60">
        <v>9.5</v>
      </c>
      <c r="N43" s="20">
        <v>16756</v>
      </c>
    </row>
    <row r="44" spans="1:14" customFormat="1" ht="30" customHeight="1" x14ac:dyDescent="0.3">
      <c r="A44" s="18">
        <v>31</v>
      </c>
      <c r="B44" s="19">
        <f t="shared" si="5"/>
        <v>1859600</v>
      </c>
      <c r="C44" s="38"/>
      <c r="D44" s="19"/>
      <c r="E44" s="27">
        <v>45571</v>
      </c>
      <c r="F44" s="19">
        <v>42300</v>
      </c>
      <c r="G44" s="20">
        <f t="shared" si="0"/>
        <v>1817300</v>
      </c>
      <c r="H44" s="27">
        <f t="shared" si="4"/>
        <v>45571</v>
      </c>
      <c r="I44" s="27">
        <f t="shared" si="1"/>
        <v>45601</v>
      </c>
      <c r="J44" s="28">
        <f t="shared" si="2"/>
        <v>31</v>
      </c>
      <c r="K44" s="19">
        <f t="shared" si="3"/>
        <v>9261</v>
      </c>
      <c r="L44" s="27">
        <v>45443</v>
      </c>
      <c r="M44" s="60">
        <v>9.5</v>
      </c>
      <c r="N44" s="20">
        <v>17202</v>
      </c>
    </row>
    <row r="45" spans="1:14" customFormat="1" ht="30" customHeight="1" x14ac:dyDescent="0.3">
      <c r="A45" s="18">
        <v>32</v>
      </c>
      <c r="B45" s="19">
        <f t="shared" si="5"/>
        <v>1817300</v>
      </c>
      <c r="C45" s="38"/>
      <c r="D45" s="19"/>
      <c r="E45" s="27">
        <v>45602</v>
      </c>
      <c r="F45" s="19">
        <v>42300</v>
      </c>
      <c r="G45" s="20">
        <f t="shared" si="0"/>
        <v>1775000</v>
      </c>
      <c r="H45" s="27">
        <f t="shared" si="4"/>
        <v>45602</v>
      </c>
      <c r="I45" s="27">
        <f t="shared" si="1"/>
        <v>45631</v>
      </c>
      <c r="J45" s="28">
        <f t="shared" si="2"/>
        <v>30</v>
      </c>
      <c r="K45" s="19">
        <f t="shared" si="3"/>
        <v>8753</v>
      </c>
      <c r="L45" s="27">
        <v>45473</v>
      </c>
      <c r="M45" s="60">
        <v>9.5</v>
      </c>
      <c r="N45" s="20">
        <v>16304</v>
      </c>
    </row>
    <row r="46" spans="1:14" customFormat="1" ht="30" customHeight="1" x14ac:dyDescent="0.3">
      <c r="A46" s="18">
        <v>33</v>
      </c>
      <c r="B46" s="19">
        <f t="shared" si="5"/>
        <v>1775000</v>
      </c>
      <c r="C46" s="38"/>
      <c r="D46" s="19"/>
      <c r="E46" s="27">
        <v>45632</v>
      </c>
      <c r="F46" s="19">
        <v>42300</v>
      </c>
      <c r="G46" s="20">
        <f t="shared" si="0"/>
        <v>1732700</v>
      </c>
      <c r="H46" s="27">
        <f t="shared" si="4"/>
        <v>45632</v>
      </c>
      <c r="I46" s="27">
        <f t="shared" si="1"/>
        <v>45662</v>
      </c>
      <c r="J46" s="28">
        <f t="shared" si="2"/>
        <v>31</v>
      </c>
      <c r="K46" s="19">
        <f t="shared" si="3"/>
        <v>8830</v>
      </c>
      <c r="L46" s="27">
        <v>45504</v>
      </c>
      <c r="M46" s="60">
        <v>9.5</v>
      </c>
      <c r="N46" s="20">
        <v>16487</v>
      </c>
    </row>
    <row r="47" spans="1:14" customFormat="1" ht="30" customHeight="1" x14ac:dyDescent="0.3">
      <c r="A47" s="18">
        <v>34</v>
      </c>
      <c r="B47" s="19">
        <f t="shared" si="5"/>
        <v>1732700</v>
      </c>
      <c r="C47" s="38"/>
      <c r="D47" s="19"/>
      <c r="E47" s="27">
        <v>45663</v>
      </c>
      <c r="F47" s="19">
        <v>42300</v>
      </c>
      <c r="G47" s="20">
        <f t="shared" si="0"/>
        <v>1690400</v>
      </c>
      <c r="H47" s="27">
        <f t="shared" si="4"/>
        <v>45663</v>
      </c>
      <c r="I47" s="27">
        <f t="shared" si="1"/>
        <v>45693</v>
      </c>
      <c r="J47" s="28">
        <f t="shared" si="2"/>
        <v>31</v>
      </c>
      <c r="K47" s="19">
        <f t="shared" si="3"/>
        <v>8614</v>
      </c>
      <c r="L47" s="27">
        <v>45535</v>
      </c>
      <c r="M47" s="60">
        <v>9.5</v>
      </c>
      <c r="N47" s="20">
        <v>16380</v>
      </c>
    </row>
    <row r="48" spans="1:14" customFormat="1" ht="30" customHeight="1" x14ac:dyDescent="0.3">
      <c r="A48" s="18">
        <v>35</v>
      </c>
      <c r="B48" s="19">
        <f t="shared" si="5"/>
        <v>1690400</v>
      </c>
      <c r="C48" s="38"/>
      <c r="D48" s="19"/>
      <c r="E48" s="27">
        <v>45694</v>
      </c>
      <c r="F48" s="19">
        <v>42300</v>
      </c>
      <c r="G48" s="20">
        <f t="shared" si="0"/>
        <v>1648100</v>
      </c>
      <c r="H48" s="27">
        <f t="shared" si="4"/>
        <v>45694</v>
      </c>
      <c r="I48" s="27">
        <f t="shared" si="1"/>
        <v>45721</v>
      </c>
      <c r="J48" s="28">
        <f t="shared" si="2"/>
        <v>28</v>
      </c>
      <c r="K48" s="19">
        <f t="shared" si="3"/>
        <v>7586</v>
      </c>
      <c r="L48" s="27">
        <v>45565</v>
      </c>
      <c r="M48" s="60">
        <v>9.5</v>
      </c>
      <c r="N48" s="20">
        <v>15573</v>
      </c>
    </row>
    <row r="49" spans="1:256" customFormat="1" ht="30" customHeight="1" x14ac:dyDescent="0.3">
      <c r="A49" s="18">
        <v>36</v>
      </c>
      <c r="B49" s="19">
        <f t="shared" si="5"/>
        <v>1648100</v>
      </c>
      <c r="C49" s="38"/>
      <c r="D49" s="19"/>
      <c r="E49" s="27">
        <v>45722</v>
      </c>
      <c r="F49" s="19">
        <v>42300</v>
      </c>
      <c r="G49" s="20">
        <f t="shared" si="0"/>
        <v>1605800</v>
      </c>
      <c r="H49" s="27">
        <f t="shared" si="4"/>
        <v>45722</v>
      </c>
      <c r="I49" s="27">
        <f t="shared" si="1"/>
        <v>45752</v>
      </c>
      <c r="J49" s="28">
        <f t="shared" si="2"/>
        <v>31</v>
      </c>
      <c r="K49" s="19">
        <f t="shared" si="3"/>
        <v>8183</v>
      </c>
      <c r="L49" s="27">
        <v>45596</v>
      </c>
      <c r="M49" s="60">
        <v>9.5</v>
      </c>
      <c r="N49" s="20">
        <v>15725</v>
      </c>
    </row>
    <row r="50" spans="1:256" customFormat="1" ht="30" customHeight="1" x14ac:dyDescent="0.3">
      <c r="A50" s="18">
        <v>37</v>
      </c>
      <c r="B50" s="19">
        <f t="shared" si="5"/>
        <v>1605800</v>
      </c>
      <c r="C50" s="38"/>
      <c r="D50" s="19"/>
      <c r="E50" s="27">
        <v>45753</v>
      </c>
      <c r="F50" s="19">
        <v>42300</v>
      </c>
      <c r="G50" s="20">
        <f t="shared" si="0"/>
        <v>1563500</v>
      </c>
      <c r="H50" s="27">
        <f t="shared" si="4"/>
        <v>45753</v>
      </c>
      <c r="I50" s="27">
        <f t="shared" si="1"/>
        <v>45782</v>
      </c>
      <c r="J50" s="28">
        <f t="shared" si="2"/>
        <v>30</v>
      </c>
      <c r="K50" s="19">
        <f t="shared" si="3"/>
        <v>7710</v>
      </c>
      <c r="L50" s="27">
        <v>45626</v>
      </c>
      <c r="M50" s="60">
        <v>9.5</v>
      </c>
      <c r="N50" s="20">
        <v>14866</v>
      </c>
    </row>
    <row r="51" spans="1:256" customFormat="1" ht="30" customHeight="1" x14ac:dyDescent="0.3">
      <c r="A51" s="18">
        <v>38</v>
      </c>
      <c r="B51" s="19">
        <f t="shared" si="5"/>
        <v>1563500</v>
      </c>
      <c r="C51" s="38"/>
      <c r="D51" s="19"/>
      <c r="E51" s="27">
        <v>45783</v>
      </c>
      <c r="F51" s="19">
        <v>42300</v>
      </c>
      <c r="G51" s="20">
        <f t="shared" si="0"/>
        <v>1521200</v>
      </c>
      <c r="H51" s="27">
        <f t="shared" si="4"/>
        <v>45783</v>
      </c>
      <c r="I51" s="27">
        <f t="shared" si="1"/>
        <v>45813</v>
      </c>
      <c r="J51" s="28">
        <f t="shared" si="2"/>
        <v>31</v>
      </c>
      <c r="K51" s="19">
        <f t="shared" si="3"/>
        <v>7752</v>
      </c>
      <c r="L51" s="27">
        <v>45657</v>
      </c>
      <c r="M51" s="60">
        <v>9.5</v>
      </c>
      <c r="N51" s="20">
        <v>14996</v>
      </c>
    </row>
    <row r="52" spans="1:256" customFormat="1" ht="30" customHeight="1" x14ac:dyDescent="0.3">
      <c r="A52" s="18">
        <v>39</v>
      </c>
      <c r="B52" s="19">
        <f t="shared" si="5"/>
        <v>1521200</v>
      </c>
      <c r="C52" s="38"/>
      <c r="D52" s="19"/>
      <c r="E52" s="27">
        <v>45814</v>
      </c>
      <c r="F52" s="19">
        <v>42300</v>
      </c>
      <c r="G52" s="20">
        <f t="shared" si="0"/>
        <v>1478900</v>
      </c>
      <c r="H52" s="27">
        <f t="shared" si="4"/>
        <v>45814</v>
      </c>
      <c r="I52" s="27">
        <f t="shared" si="1"/>
        <v>45843</v>
      </c>
      <c r="J52" s="28">
        <f t="shared" si="2"/>
        <v>30</v>
      </c>
      <c r="K52" s="19">
        <f t="shared" si="3"/>
        <v>7293</v>
      </c>
      <c r="L52" s="27">
        <v>45688</v>
      </c>
      <c r="M52" s="60">
        <v>9.5</v>
      </c>
      <c r="N52" s="20">
        <v>14631</v>
      </c>
    </row>
    <row r="53" spans="1:256" customFormat="1" ht="30" customHeight="1" x14ac:dyDescent="0.3">
      <c r="A53" s="18">
        <v>40</v>
      </c>
      <c r="B53" s="19">
        <f t="shared" si="5"/>
        <v>1478900</v>
      </c>
      <c r="C53" s="38"/>
      <c r="D53" s="19"/>
      <c r="E53" s="27">
        <v>45844</v>
      </c>
      <c r="F53" s="19">
        <v>42300</v>
      </c>
      <c r="G53" s="20">
        <f t="shared" si="0"/>
        <v>1436600</v>
      </c>
      <c r="H53" s="27">
        <f t="shared" si="4"/>
        <v>45844</v>
      </c>
      <c r="I53" s="27">
        <f t="shared" si="1"/>
        <v>45882</v>
      </c>
      <c r="J53" s="28">
        <f t="shared" si="2"/>
        <v>39</v>
      </c>
      <c r="K53" s="19">
        <f t="shared" si="3"/>
        <v>9210</v>
      </c>
      <c r="L53" s="27">
        <v>45716</v>
      </c>
      <c r="M53" s="60">
        <v>9.5</v>
      </c>
      <c r="N53" s="20">
        <v>12892</v>
      </c>
    </row>
    <row r="54" spans="1:256" customFormat="1" ht="30" customHeight="1" x14ac:dyDescent="0.3">
      <c r="A54" s="18">
        <v>41</v>
      </c>
      <c r="B54" s="19">
        <f t="shared" si="5"/>
        <v>1436600</v>
      </c>
      <c r="C54" s="38"/>
      <c r="D54" s="19"/>
      <c r="E54" s="27">
        <v>45883</v>
      </c>
      <c r="F54" s="19">
        <f>42300+1394300</f>
        <v>1436600</v>
      </c>
      <c r="G54" s="20">
        <f t="shared" si="0"/>
        <v>0</v>
      </c>
      <c r="H54" s="27">
        <f t="shared" si="4"/>
        <v>45883</v>
      </c>
      <c r="I54" s="27">
        <v>45883</v>
      </c>
      <c r="J54" s="28">
        <f t="shared" si="2"/>
        <v>1</v>
      </c>
      <c r="K54" s="19">
        <f t="shared" si="3"/>
        <v>0</v>
      </c>
      <c r="L54" s="27">
        <v>45747</v>
      </c>
      <c r="M54" s="60">
        <v>9.5</v>
      </c>
      <c r="N54" s="20">
        <v>13901</v>
      </c>
    </row>
    <row r="55" spans="1:256" customFormat="1" ht="30" customHeight="1" x14ac:dyDescent="0.3">
      <c r="A55" s="18"/>
      <c r="B55" s="19"/>
      <c r="C55" s="38"/>
      <c r="D55" s="19"/>
      <c r="E55" s="27"/>
      <c r="F55" s="19"/>
      <c r="G55" s="20"/>
      <c r="H55" s="27"/>
      <c r="I55" s="27"/>
      <c r="J55" s="28"/>
      <c r="K55" s="19"/>
      <c r="L55" s="27">
        <v>45777</v>
      </c>
      <c r="M55" s="60">
        <v>9.5</v>
      </c>
      <c r="N55" s="20">
        <v>13102</v>
      </c>
    </row>
    <row r="56" spans="1:256" customFormat="1" ht="30" customHeight="1" x14ac:dyDescent="0.3">
      <c r="A56" s="18"/>
      <c r="B56" s="19"/>
      <c r="C56" s="38"/>
      <c r="D56" s="19"/>
      <c r="E56" s="27"/>
      <c r="F56" s="19"/>
      <c r="G56" s="20"/>
      <c r="H56" s="27"/>
      <c r="I56" s="27"/>
      <c r="J56" s="28"/>
      <c r="K56" s="19"/>
      <c r="L56" s="27">
        <v>45808</v>
      </c>
      <c r="M56" s="60">
        <v>9.5</v>
      </c>
      <c r="N56" s="20">
        <v>13173</v>
      </c>
    </row>
    <row r="57" spans="1:256" customFormat="1" ht="30" customHeight="1" x14ac:dyDescent="0.3">
      <c r="A57" s="18"/>
      <c r="B57" s="19"/>
      <c r="C57" s="38"/>
      <c r="D57" s="19"/>
      <c r="E57" s="27"/>
      <c r="F57" s="19"/>
      <c r="G57" s="20"/>
      <c r="H57" s="27"/>
      <c r="I57" s="27"/>
      <c r="J57" s="28"/>
      <c r="K57" s="19"/>
      <c r="L57" s="27">
        <v>45838</v>
      </c>
      <c r="M57" s="60">
        <v>9.5</v>
      </c>
      <c r="N57" s="20">
        <v>12263</v>
      </c>
    </row>
    <row r="58" spans="1:256" customFormat="1" ht="30" customHeight="1" x14ac:dyDescent="0.3">
      <c r="A58" s="18"/>
      <c r="B58" s="19"/>
      <c r="C58" s="38"/>
      <c r="D58" s="19"/>
      <c r="E58" s="27"/>
      <c r="F58" s="19"/>
      <c r="G58" s="20"/>
      <c r="H58" s="27"/>
      <c r="I58" s="27"/>
      <c r="J58" s="28"/>
      <c r="K58" s="19"/>
      <c r="L58" s="27">
        <v>45869</v>
      </c>
      <c r="M58" s="60">
        <v>9.5</v>
      </c>
      <c r="N58" s="20">
        <v>12075</v>
      </c>
    </row>
    <row r="59" spans="1:256" customFormat="1" ht="30" customHeight="1" x14ac:dyDescent="0.3">
      <c r="A59" s="18"/>
      <c r="B59" s="19"/>
      <c r="C59" s="38"/>
      <c r="D59" s="19"/>
      <c r="E59" s="27"/>
      <c r="F59" s="19"/>
      <c r="G59" s="20"/>
      <c r="H59" s="27"/>
      <c r="I59" s="27"/>
      <c r="J59" s="28"/>
      <c r="K59" s="19"/>
      <c r="L59" s="27">
        <v>45883</v>
      </c>
      <c r="M59" s="60">
        <v>9.5</v>
      </c>
      <c r="N59" s="20">
        <v>4949</v>
      </c>
    </row>
    <row r="60" spans="1:256" customFormat="1" ht="30" customHeight="1" x14ac:dyDescent="0.3">
      <c r="A60" s="18"/>
      <c r="B60" s="19"/>
      <c r="C60" s="38"/>
      <c r="D60" s="19"/>
      <c r="E60" s="27"/>
      <c r="F60" s="19"/>
      <c r="G60" s="20"/>
      <c r="H60" s="27"/>
      <c r="I60" s="27"/>
      <c r="J60" s="28"/>
      <c r="K60" s="19"/>
      <c r="L60" s="27"/>
      <c r="M60" s="60"/>
      <c r="N60" s="20"/>
    </row>
    <row r="61" spans="1:256" s="2" customFormat="1" ht="33" customHeight="1" x14ac:dyDescent="0.25">
      <c r="A61" s="21"/>
      <c r="B61" s="22"/>
      <c r="C61" s="23"/>
      <c r="D61" s="22">
        <f>SUM(D14:D19)</f>
        <v>3044000</v>
      </c>
      <c r="E61" s="22"/>
      <c r="F61" s="22">
        <f>SUM(F14:F60)</f>
        <v>3044000</v>
      </c>
      <c r="G61" s="22"/>
      <c r="H61" s="22"/>
      <c r="I61" s="22"/>
      <c r="J61" s="29">
        <f>SUM(J14:J60)</f>
        <v>1378</v>
      </c>
      <c r="K61" s="22"/>
      <c r="L61" s="22"/>
      <c r="M61" s="22"/>
      <c r="N61" s="22">
        <f>SUM(N13:N60)</f>
        <v>901530</v>
      </c>
    </row>
    <row r="62" spans="1:256" s="3" customFormat="1" ht="30" customHeight="1" x14ac:dyDescent="0.25">
      <c r="A62" s="67" t="s">
        <v>49</v>
      </c>
      <c r="B62" s="67"/>
      <c r="C62" s="67"/>
      <c r="D62" s="67"/>
      <c r="E62" s="67"/>
      <c r="F62" s="67"/>
      <c r="G62" s="67"/>
      <c r="H62" s="67"/>
      <c r="I62" s="67"/>
      <c r="J62" s="67"/>
      <c r="K62" s="22">
        <f>SUM(K14:K61)</f>
        <v>530072</v>
      </c>
      <c r="L62" s="30"/>
      <c r="M62" s="30"/>
      <c r="N62" s="22"/>
    </row>
    <row r="63" spans="1:256" s="3" customFormat="1" ht="30" customHeight="1" x14ac:dyDescent="0.25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31"/>
      <c r="L63" s="58"/>
      <c r="M63" s="58"/>
      <c r="N63" s="31"/>
    </row>
    <row r="64" spans="1:256" ht="30" customHeight="1" x14ac:dyDescent="0.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31"/>
      <c r="L64" s="1"/>
      <c r="M64" s="1"/>
      <c r="N64" s="24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  <c r="HQ64" s="32"/>
      <c r="HR64" s="32"/>
      <c r="HS64" s="32"/>
      <c r="HT64" s="32"/>
      <c r="HU64" s="32"/>
      <c r="HV64" s="32"/>
      <c r="HW64" s="32"/>
      <c r="HX64" s="32"/>
      <c r="HY64" s="32"/>
      <c r="HZ64" s="32"/>
      <c r="IA64" s="32"/>
      <c r="IB64" s="32"/>
      <c r="IC64" s="32"/>
      <c r="ID64" s="32"/>
      <c r="IE64" s="32"/>
      <c r="IF64" s="32"/>
      <c r="IG64" s="32"/>
      <c r="IH64" s="32"/>
      <c r="II64" s="32"/>
      <c r="IJ64" s="32"/>
      <c r="IK64" s="32"/>
      <c r="IL64" s="32"/>
      <c r="IM64" s="32"/>
      <c r="IN64" s="32"/>
      <c r="IO64" s="32"/>
      <c r="IP64" s="32"/>
      <c r="IQ64" s="32"/>
      <c r="IR64" s="32"/>
      <c r="IS64" s="32"/>
      <c r="IT64" s="32"/>
      <c r="IU64" s="32"/>
      <c r="IV64" s="32"/>
    </row>
    <row r="65" spans="1:30" s="5" customFormat="1" ht="42.95" customHeight="1" x14ac:dyDescent="0.3">
      <c r="A65" s="25" t="s">
        <v>50</v>
      </c>
      <c r="B65" s="25"/>
      <c r="C65" s="25"/>
      <c r="D65" s="25" t="s">
        <v>51</v>
      </c>
      <c r="E65" s="25"/>
      <c r="F65" s="25"/>
      <c r="G65" s="25" t="s">
        <v>52</v>
      </c>
      <c r="H65" s="25"/>
      <c r="I65" s="25"/>
      <c r="J65" s="25"/>
      <c r="K65" s="25"/>
      <c r="L65" s="25"/>
      <c r="M65" s="25"/>
      <c r="N65" s="25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10"/>
      <c r="AC65" s="10"/>
      <c r="AD65" s="10"/>
    </row>
    <row r="66" spans="1:30" ht="57" customHeight="1" x14ac:dyDescent="0.3">
      <c r="E66" s="26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10"/>
      <c r="AC66" s="10"/>
      <c r="AD66" s="10"/>
    </row>
    <row r="67" spans="1:30" x14ac:dyDescent="0.3">
      <c r="J67" s="3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</sheetData>
  <mergeCells count="19">
    <mergeCell ref="A1:D1"/>
    <mergeCell ref="E1:N1"/>
    <mergeCell ref="A2:D2"/>
    <mergeCell ref="E2:N2"/>
    <mergeCell ref="A3:D3"/>
    <mergeCell ref="E3:N3"/>
    <mergeCell ref="A4:D4"/>
    <mergeCell ref="E4:N4"/>
    <mergeCell ref="A5:D5"/>
    <mergeCell ref="E5:N5"/>
    <mergeCell ref="A6:D6"/>
    <mergeCell ref="E6:N6"/>
    <mergeCell ref="A62:J62"/>
    <mergeCell ref="A8:N10"/>
    <mergeCell ref="A7:D7"/>
    <mergeCell ref="E7:N7"/>
    <mergeCell ref="C11:D11"/>
    <mergeCell ref="E11:F11"/>
    <mergeCell ref="H11:J11"/>
  </mergeCells>
  <pageMargins left="0.23622047244094491" right="0.23622047244094491" top="0.15748031496062992" bottom="0.15748031496062992" header="0.17" footer="0.17"/>
  <pageSetup scale="47" fitToHeight="0" orientation="landscape" r:id="rId1"/>
  <headerFooter scaleWithDoc="0" alignWithMargins="0"/>
  <rowBreaks count="1" manualBreakCount="1">
    <brk id="38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25" sqref="C2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1st Page</vt:lpstr>
      <vt:lpstr>2nd Page</vt:lpstr>
      <vt:lpstr>Sheet1</vt:lpstr>
      <vt:lpstr>'1st Page'!Print_Area</vt:lpstr>
      <vt:lpstr>'2nd Page'!Print_Area</vt:lpstr>
      <vt:lpstr>'2nd Page'!Print_Titles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 Wagh</dc:creator>
  <cp:lastModifiedBy>PRITI SAIN</cp:lastModifiedBy>
  <cp:lastPrinted>2025-10-04T10:26:57Z</cp:lastPrinted>
  <dcterms:created xsi:type="dcterms:W3CDTF">2018-07-30T06:44:00Z</dcterms:created>
  <dcterms:modified xsi:type="dcterms:W3CDTF">2025-10-04T10:27:07Z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